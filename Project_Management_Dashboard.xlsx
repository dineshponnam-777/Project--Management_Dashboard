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0" documentId="8_{772E8A34-D29F-457D-B7F7-80C5E135089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blProjects" sheetId="1" r:id="rId1"/>
    <sheet name="tblTeam" sheetId="2" r:id="rId2"/>
    <sheet name="tblTasks" sheetId="3" r:id="rId3"/>
    <sheet name="tblTime" sheetId="4" r:id="rId4"/>
    <sheet name="KPI_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2" i="5"/>
  <c r="O51" i="3"/>
  <c r="N51" i="3"/>
  <c r="M51" i="3"/>
  <c r="L51" i="3"/>
  <c r="O50" i="3"/>
  <c r="N50" i="3"/>
  <c r="M50" i="3"/>
  <c r="L50" i="3"/>
  <c r="O49" i="3"/>
  <c r="N49" i="3"/>
  <c r="M49" i="3"/>
  <c r="L49" i="3"/>
  <c r="O48" i="3"/>
  <c r="N48" i="3"/>
  <c r="M48" i="3"/>
  <c r="L48" i="3"/>
  <c r="O47" i="3"/>
  <c r="N47" i="3"/>
  <c r="M47" i="3"/>
  <c r="L47" i="3"/>
  <c r="O46" i="3"/>
  <c r="N46" i="3"/>
  <c r="M46" i="3"/>
  <c r="L46" i="3"/>
  <c r="O45" i="3"/>
  <c r="N45" i="3"/>
  <c r="M45" i="3"/>
  <c r="L45" i="3"/>
  <c r="O44" i="3"/>
  <c r="N44" i="3"/>
  <c r="M44" i="3"/>
  <c r="L44" i="3"/>
  <c r="O43" i="3"/>
  <c r="N43" i="3"/>
  <c r="M43" i="3"/>
  <c r="L43" i="3"/>
  <c r="O42" i="3"/>
  <c r="N42" i="3"/>
  <c r="M42" i="3"/>
  <c r="L42" i="3"/>
  <c r="O41" i="3"/>
  <c r="N41" i="3"/>
  <c r="M41" i="3"/>
  <c r="L41" i="3"/>
  <c r="O40" i="3"/>
  <c r="N40" i="3"/>
  <c r="M40" i="3"/>
  <c r="L40" i="3"/>
  <c r="O39" i="3"/>
  <c r="N39" i="3"/>
  <c r="M39" i="3"/>
  <c r="L39" i="3"/>
  <c r="O38" i="3"/>
  <c r="N38" i="3"/>
  <c r="M38" i="3"/>
  <c r="L38" i="3"/>
  <c r="O37" i="3"/>
  <c r="N37" i="3"/>
  <c r="M37" i="3"/>
  <c r="L37" i="3"/>
  <c r="O36" i="3"/>
  <c r="N36" i="3"/>
  <c r="M36" i="3"/>
  <c r="L36" i="3"/>
  <c r="O35" i="3"/>
  <c r="N35" i="3"/>
  <c r="M35" i="3"/>
  <c r="L35" i="3"/>
  <c r="O34" i="3"/>
  <c r="N34" i="3"/>
  <c r="M34" i="3"/>
  <c r="L34" i="3"/>
  <c r="O33" i="3"/>
  <c r="N33" i="3"/>
  <c r="M33" i="3"/>
  <c r="L33" i="3"/>
  <c r="O32" i="3"/>
  <c r="N32" i="3"/>
  <c r="M32" i="3"/>
  <c r="L32" i="3"/>
  <c r="O31" i="3"/>
  <c r="N31" i="3"/>
  <c r="M31" i="3"/>
  <c r="L31" i="3"/>
  <c r="O30" i="3"/>
  <c r="N30" i="3"/>
  <c r="M30" i="3"/>
  <c r="L30" i="3"/>
  <c r="O29" i="3"/>
  <c r="N29" i="3"/>
  <c r="M29" i="3"/>
  <c r="L29" i="3"/>
  <c r="O28" i="3"/>
  <c r="N28" i="3"/>
  <c r="M28" i="3"/>
  <c r="L28" i="3"/>
  <c r="O27" i="3"/>
  <c r="N27" i="3"/>
  <c r="M27" i="3"/>
  <c r="L27" i="3"/>
  <c r="O26" i="3"/>
  <c r="N26" i="3"/>
  <c r="M26" i="3"/>
  <c r="L26" i="3"/>
  <c r="O25" i="3"/>
  <c r="N25" i="3"/>
  <c r="M25" i="3"/>
  <c r="L25" i="3"/>
  <c r="O24" i="3"/>
  <c r="N24" i="3"/>
  <c r="M24" i="3"/>
  <c r="L24" i="3"/>
  <c r="O23" i="3"/>
  <c r="N23" i="3"/>
  <c r="M23" i="3"/>
  <c r="L23" i="3"/>
  <c r="O22" i="3"/>
  <c r="N22" i="3"/>
  <c r="M22" i="3"/>
  <c r="L22" i="3"/>
  <c r="O21" i="3"/>
  <c r="N21" i="3"/>
  <c r="M21" i="3"/>
  <c r="L21" i="3"/>
  <c r="O20" i="3"/>
  <c r="N20" i="3"/>
  <c r="M20" i="3"/>
  <c r="L20" i="3"/>
  <c r="O19" i="3"/>
  <c r="N19" i="3"/>
  <c r="M19" i="3"/>
  <c r="L19" i="3"/>
  <c r="O18" i="3"/>
  <c r="N18" i="3"/>
  <c r="M18" i="3"/>
  <c r="L18" i="3"/>
  <c r="O17" i="3"/>
  <c r="N17" i="3"/>
  <c r="M17" i="3"/>
  <c r="L17" i="3"/>
  <c r="O16" i="3"/>
  <c r="N16" i="3"/>
  <c r="M16" i="3"/>
  <c r="L16" i="3"/>
  <c r="O15" i="3"/>
  <c r="N15" i="3"/>
  <c r="M15" i="3"/>
  <c r="L15" i="3"/>
  <c r="O14" i="3"/>
  <c r="N14" i="3"/>
  <c r="M14" i="3"/>
  <c r="L14" i="3"/>
  <c r="O13" i="3"/>
  <c r="N13" i="3"/>
  <c r="M13" i="3"/>
  <c r="L13" i="3"/>
  <c r="O12" i="3"/>
  <c r="N12" i="3"/>
  <c r="M12" i="3"/>
  <c r="L12" i="3"/>
  <c r="O11" i="3"/>
  <c r="N11" i="3"/>
  <c r="M11" i="3"/>
  <c r="L11" i="3"/>
  <c r="O10" i="3"/>
  <c r="N10" i="3"/>
  <c r="M10" i="3"/>
  <c r="L10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  <c r="O2" i="3"/>
  <c r="N2" i="3"/>
  <c r="M2" i="3"/>
  <c r="B5" i="5" s="1"/>
  <c r="L2" i="3"/>
</calcChain>
</file>

<file path=xl/sharedStrings.xml><?xml version="1.0" encoding="utf-8"?>
<sst xmlns="http://schemas.openxmlformats.org/spreadsheetml/2006/main" count="556" uniqueCount="152">
  <si>
    <t>ProjectID</t>
  </si>
  <si>
    <t>ProjectName</t>
  </si>
  <si>
    <t>Client</t>
  </si>
  <si>
    <t>StartDate</t>
  </si>
  <si>
    <t>EndDate</t>
  </si>
  <si>
    <t>Status</t>
  </si>
  <si>
    <t>P001</t>
  </si>
  <si>
    <t>Website Redesign</t>
  </si>
  <si>
    <t>Client A</t>
  </si>
  <si>
    <t>Active</t>
  </si>
  <si>
    <t>P002</t>
  </si>
  <si>
    <t>Marketing Campaign</t>
  </si>
  <si>
    <t>Client B</t>
  </si>
  <si>
    <t>P003</t>
  </si>
  <si>
    <t>Product Launch</t>
  </si>
  <si>
    <t>Client C</t>
  </si>
  <si>
    <t>Member</t>
  </si>
  <si>
    <t>Role</t>
  </si>
  <si>
    <t>CapacityHrsPerWeek</t>
  </si>
  <si>
    <t>Amit</t>
  </si>
  <si>
    <t>Analyst</t>
  </si>
  <si>
    <t>Ravi</t>
  </si>
  <si>
    <t>Sneha</t>
  </si>
  <si>
    <t>Neha</t>
  </si>
  <si>
    <t>Kiran</t>
  </si>
  <si>
    <t>TaskID</t>
  </si>
  <si>
    <t>Title</t>
  </si>
  <si>
    <t>Assignee</t>
  </si>
  <si>
    <t>CreatedDate</t>
  </si>
  <si>
    <t>DueDate</t>
  </si>
  <si>
    <t>ClosedDate</t>
  </si>
  <si>
    <t>Priority</t>
  </si>
  <si>
    <t>StoryPoints</t>
  </si>
  <si>
    <t>IsClosed</t>
  </si>
  <si>
    <t>Overdue</t>
  </si>
  <si>
    <t>CycleTimeDays</t>
  </si>
  <si>
    <t>LeadTimeDays</t>
  </si>
  <si>
    <t>T1</t>
  </si>
  <si>
    <t>Task 1</t>
  </si>
  <si>
    <t>Done</t>
  </si>
  <si>
    <t>High</t>
  </si>
  <si>
    <t>T2</t>
  </si>
  <si>
    <t>Task 2</t>
  </si>
  <si>
    <t>To Do</t>
  </si>
  <si>
    <t>Medium</t>
  </si>
  <si>
    <t>T3</t>
  </si>
  <si>
    <t>Task 3</t>
  </si>
  <si>
    <t>T4</t>
  </si>
  <si>
    <t>Task 4</t>
  </si>
  <si>
    <t>Low</t>
  </si>
  <si>
    <t>T5</t>
  </si>
  <si>
    <t>Task 5</t>
  </si>
  <si>
    <t>T6</t>
  </si>
  <si>
    <t>Task 6</t>
  </si>
  <si>
    <t>Blocked</t>
  </si>
  <si>
    <t>T7</t>
  </si>
  <si>
    <t>Task 7</t>
  </si>
  <si>
    <t>T8</t>
  </si>
  <si>
    <t>Task 8</t>
  </si>
  <si>
    <t>T9</t>
  </si>
  <si>
    <t>Task 9</t>
  </si>
  <si>
    <t>T10</t>
  </si>
  <si>
    <t>Task 10</t>
  </si>
  <si>
    <t>In Progress</t>
  </si>
  <si>
    <t>T11</t>
  </si>
  <si>
    <t>Task 11</t>
  </si>
  <si>
    <t>T12</t>
  </si>
  <si>
    <t>Task 12</t>
  </si>
  <si>
    <t>T13</t>
  </si>
  <si>
    <t>Task 13</t>
  </si>
  <si>
    <t>T14</t>
  </si>
  <si>
    <t>Task 14</t>
  </si>
  <si>
    <t>T15</t>
  </si>
  <si>
    <t>Task 15</t>
  </si>
  <si>
    <t>T16</t>
  </si>
  <si>
    <t>Task 16</t>
  </si>
  <si>
    <t>T17</t>
  </si>
  <si>
    <t>Task 17</t>
  </si>
  <si>
    <t>T18</t>
  </si>
  <si>
    <t>Task 18</t>
  </si>
  <si>
    <t>T19</t>
  </si>
  <si>
    <t>Task 19</t>
  </si>
  <si>
    <t>T20</t>
  </si>
  <si>
    <t>Task 20</t>
  </si>
  <si>
    <t>T21</t>
  </si>
  <si>
    <t>Task 21</t>
  </si>
  <si>
    <t>T22</t>
  </si>
  <si>
    <t>Task 22</t>
  </si>
  <si>
    <t>T23</t>
  </si>
  <si>
    <t>Task 23</t>
  </si>
  <si>
    <t>T24</t>
  </si>
  <si>
    <t>Task 24</t>
  </si>
  <si>
    <t>T25</t>
  </si>
  <si>
    <t>Task 25</t>
  </si>
  <si>
    <t>T26</t>
  </si>
  <si>
    <t>Task 26</t>
  </si>
  <si>
    <t>T27</t>
  </si>
  <si>
    <t>Task 27</t>
  </si>
  <si>
    <t>T28</t>
  </si>
  <si>
    <t>Task 28</t>
  </si>
  <si>
    <t>T29</t>
  </si>
  <si>
    <t>Task 29</t>
  </si>
  <si>
    <t>T30</t>
  </si>
  <si>
    <t>Task 30</t>
  </si>
  <si>
    <t>T31</t>
  </si>
  <si>
    <t>Task 31</t>
  </si>
  <si>
    <t>T32</t>
  </si>
  <si>
    <t>Task 32</t>
  </si>
  <si>
    <t>T33</t>
  </si>
  <si>
    <t>Task 33</t>
  </si>
  <si>
    <t>T34</t>
  </si>
  <si>
    <t>Task 34</t>
  </si>
  <si>
    <t>T35</t>
  </si>
  <si>
    <t>Task 35</t>
  </si>
  <si>
    <t>T36</t>
  </si>
  <si>
    <t>Task 36</t>
  </si>
  <si>
    <t>T37</t>
  </si>
  <si>
    <t>Task 37</t>
  </si>
  <si>
    <t>T38</t>
  </si>
  <si>
    <t>Task 38</t>
  </si>
  <si>
    <t>T39</t>
  </si>
  <si>
    <t>Task 39</t>
  </si>
  <si>
    <t>T40</t>
  </si>
  <si>
    <t>Task 40</t>
  </si>
  <si>
    <t>T41</t>
  </si>
  <si>
    <t>Task 41</t>
  </si>
  <si>
    <t>T42</t>
  </si>
  <si>
    <t>Task 42</t>
  </si>
  <si>
    <t>T43</t>
  </si>
  <si>
    <t>Task 43</t>
  </si>
  <si>
    <t>T44</t>
  </si>
  <si>
    <t>Task 44</t>
  </si>
  <si>
    <t>T45</t>
  </si>
  <si>
    <t>Task 45</t>
  </si>
  <si>
    <t>T46</t>
  </si>
  <si>
    <t>Task 46</t>
  </si>
  <si>
    <t>T47</t>
  </si>
  <si>
    <t>Task 47</t>
  </si>
  <si>
    <t>T48</t>
  </si>
  <si>
    <t>Task 48</t>
  </si>
  <si>
    <t>T49</t>
  </si>
  <si>
    <t>Task 49</t>
  </si>
  <si>
    <t>T50</t>
  </si>
  <si>
    <t>Task 50</t>
  </si>
  <si>
    <t>Date</t>
  </si>
  <si>
    <t>Hours</t>
  </si>
  <si>
    <t>Metric</t>
  </si>
  <si>
    <t>Value</t>
  </si>
  <si>
    <t>Total Tasks</t>
  </si>
  <si>
    <t>Completed</t>
  </si>
  <si>
    <t>Pending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</si>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</sst>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>
    <font>
      <sz val="11"/>
      <name val="Calibri"/>
      <scheme val="minor"/>
    </font>
    <font>
      <sz val="11"/>
      <color rgb="FFFFFFFF"/>
      <name val="Calibri"/>
    </font>
    <font>
      <sz val="11"/>
      <name val="Calibri"/>
    </font>
    <font>
      <sz val="11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12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none"/>
      </fill>
    </dxf>
  </dxfs>
  <tableStyles count="4">
    <tableStyle name="tblProject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tblTeam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tblTasks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tblTim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4">
  <tableColumns count="6">
    <tableColumn id="1" xr3:uid="{00000000-0010-0000-0000-000001000000}" name="ProjectID"/>
    <tableColumn id="2" xr3:uid="{00000000-0010-0000-0000-000002000000}" name="ProjectName"/>
    <tableColumn id="3" xr3:uid="{00000000-0010-0000-0000-000003000000}" name="Client"/>
    <tableColumn id="4" xr3:uid="{00000000-0010-0000-0000-000004000000}" name="StartDate"/>
    <tableColumn id="5" xr3:uid="{00000000-0010-0000-0000-000005000000}" name="EndDate"/>
    <tableColumn id="6" xr3:uid="{00000000-0010-0000-0000-000006000000}" name="Status"/>
  </tableColumns>
  <tableStyleInfo name="tblProjec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6">
  <tableColumns count="3">
    <tableColumn id="1" xr3:uid="{00000000-0010-0000-0100-000001000000}" name="Member"/>
    <tableColumn id="2" xr3:uid="{00000000-0010-0000-0100-000002000000}" name="Role"/>
    <tableColumn id="3" xr3:uid="{00000000-0010-0000-0100-000003000000}" name="CapacityHrsPerWeek"/>
  </tableColumns>
  <tableStyleInfo name="tblTeam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O51">
  <tableColumns count="15">
    <tableColumn id="1" xr3:uid="{00000000-0010-0000-0200-000001000000}" name="TaskID"/>
    <tableColumn id="2" xr3:uid="{00000000-0010-0000-0200-000002000000}" name="ProjectID"/>
    <tableColumn id="3" xr3:uid="{00000000-0010-0000-0200-000003000000}" name="Title"/>
    <tableColumn id="4" xr3:uid="{00000000-0010-0000-0200-000004000000}" name="Assignee"/>
    <tableColumn id="5" xr3:uid="{00000000-0010-0000-0200-000005000000}" name="CreatedDate"/>
    <tableColumn id="6" xr3:uid="{00000000-0010-0000-0200-000006000000}" name="StartDate"/>
    <tableColumn id="7" xr3:uid="{00000000-0010-0000-0200-000007000000}" name="DueDate"/>
    <tableColumn id="8" xr3:uid="{00000000-0010-0000-0200-000008000000}" name="ClosedDate"/>
    <tableColumn id="9" xr3:uid="{00000000-0010-0000-0200-000009000000}" name="Status"/>
    <tableColumn id="10" xr3:uid="{00000000-0010-0000-0200-00000A000000}" name="Priority"/>
    <tableColumn id="11" xr3:uid="{00000000-0010-0000-0200-00000B000000}" name="StoryPoints"/>
    <tableColumn id="12" xr3:uid="{00000000-0010-0000-0200-00000C000000}" name="IsClosed"/>
    <tableColumn id="13" xr3:uid="{00000000-0010-0000-0200-00000D000000}" name="Overdue"/>
    <tableColumn id="14" xr3:uid="{00000000-0010-0000-0200-00000E000000}" name="CycleTimeDays"/>
    <tableColumn id="15" xr3:uid="{00000000-0010-0000-0200-00000F000000}" name="LeadTimeDays"/>
  </tableColumns>
  <tableStyleInfo name="tblTask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D101">
  <tableColumns count="4">
    <tableColumn id="1" xr3:uid="{00000000-0010-0000-0300-000001000000}" name="Date"/>
    <tableColumn id="2" xr3:uid="{00000000-0010-0000-0300-000002000000}" name="TaskID"/>
    <tableColumn id="3" xr3:uid="{00000000-0010-0000-0300-000003000000}" name="Member"/>
    <tableColumn id="4" xr3:uid="{00000000-0010-0000-0300-000004000000}" name="Hours"/>
  </tableColumns>
  <tableStyleInfo name="tblTim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activeCell="C1" sqref="C1"/>
    </sheetView>
  </sheetViews>
  <sheetFormatPr defaultColWidth="14.44140625" defaultRowHeight="15" customHeight="1"/>
  <cols>
    <col min="1" max="1" width="11.88671875" customWidth="1"/>
    <col min="2" max="2" width="22.33203125" customWidth="1"/>
    <col min="3" max="3" width="12.109375" customWidth="1"/>
    <col min="4" max="4" width="12.33203125" customWidth="1"/>
    <col min="5" max="5" width="13" customWidth="1"/>
    <col min="6" max="11" width="8.6640625" customWidth="1"/>
  </cols>
  <sheetData>
    <row r="1" spans="1:6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>
      <c r="A2" s="2" t="s">
        <v>6</v>
      </c>
      <c r="B2" s="2" t="s">
        <v>7</v>
      </c>
      <c r="C2" s="2" t="s">
        <v>8</v>
      </c>
      <c r="D2" s="3">
        <v>46023</v>
      </c>
      <c r="E2" s="3">
        <v>46112</v>
      </c>
      <c r="F2" s="2" t="s">
        <v>9</v>
      </c>
    </row>
    <row r="3" spans="1:6" ht="14.4">
      <c r="A3" s="2" t="s">
        <v>10</v>
      </c>
      <c r="B3" s="2" t="s">
        <v>11</v>
      </c>
      <c r="C3" s="2" t="s">
        <v>12</v>
      </c>
      <c r="D3" s="3">
        <v>46023</v>
      </c>
      <c r="E3" s="3">
        <v>46112</v>
      </c>
      <c r="F3" s="2" t="s">
        <v>9</v>
      </c>
    </row>
    <row r="4" spans="1:6" ht="14.4">
      <c r="A4" s="2" t="s">
        <v>13</v>
      </c>
      <c r="B4" s="2" t="s">
        <v>14</v>
      </c>
      <c r="C4" s="2" t="s">
        <v>15</v>
      </c>
      <c r="D4" s="3">
        <v>46023</v>
      </c>
      <c r="E4" s="3">
        <v>46112</v>
      </c>
      <c r="F4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/>
  </sheetViews>
  <sheetFormatPr defaultColWidth="14.44140625" defaultRowHeight="15" customHeight="1"/>
  <cols>
    <col min="1" max="11" width="8.6640625" customWidth="1"/>
  </cols>
  <sheetData>
    <row r="1" spans="1:3" ht="14.4">
      <c r="A1" s="1" t="s">
        <v>16</v>
      </c>
      <c r="B1" s="1" t="s">
        <v>17</v>
      </c>
      <c r="C1" s="1" t="s">
        <v>18</v>
      </c>
    </row>
    <row r="2" spans="1:3" ht="14.4">
      <c r="A2" s="2" t="s">
        <v>19</v>
      </c>
      <c r="B2" s="2" t="s">
        <v>20</v>
      </c>
      <c r="C2" s="2">
        <v>40</v>
      </c>
    </row>
    <row r="3" spans="1:3" ht="14.4">
      <c r="A3" s="2" t="s">
        <v>21</v>
      </c>
      <c r="B3" s="2" t="s">
        <v>20</v>
      </c>
      <c r="C3" s="2">
        <v>40</v>
      </c>
    </row>
    <row r="4" spans="1:3" ht="14.4">
      <c r="A4" s="2" t="s">
        <v>22</v>
      </c>
      <c r="B4" s="2" t="s">
        <v>20</v>
      </c>
      <c r="C4" s="2">
        <v>40</v>
      </c>
    </row>
    <row r="5" spans="1:3" ht="14.4">
      <c r="A5" s="2" t="s">
        <v>23</v>
      </c>
      <c r="B5" s="2" t="s">
        <v>20</v>
      </c>
      <c r="C5" s="2">
        <v>40</v>
      </c>
    </row>
    <row r="6" spans="1:3" ht="14.4">
      <c r="A6" s="2" t="s">
        <v>24</v>
      </c>
      <c r="B6" s="2" t="s">
        <v>20</v>
      </c>
      <c r="C6" s="2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workbookViewId="0">
      <selection activeCell="E11" sqref="E11:E12"/>
    </sheetView>
  </sheetViews>
  <sheetFormatPr defaultColWidth="14.44140625" defaultRowHeight="15" customHeight="1"/>
  <cols>
    <col min="1" max="1" width="8.33203125" customWidth="1"/>
    <col min="2" max="2" width="12.109375" customWidth="1"/>
    <col min="3" max="3" width="11.44140625" customWidth="1"/>
    <col min="4" max="4" width="12.5546875" customWidth="1"/>
    <col min="5" max="5" width="14.5546875" customWidth="1"/>
    <col min="6" max="6" width="14.44140625" customWidth="1"/>
    <col min="7" max="7" width="13" customWidth="1"/>
    <col min="8" max="8" width="13.88671875" customWidth="1"/>
    <col min="9" max="9" width="13.6640625" customWidth="1"/>
    <col min="10" max="10" width="14" customWidth="1"/>
    <col min="11" max="11" width="12.44140625" customWidth="1"/>
    <col min="12" max="12" width="12.33203125" customWidth="1"/>
    <col min="13" max="13" width="11.88671875" customWidth="1"/>
    <col min="14" max="14" width="20.44140625" customWidth="1"/>
    <col min="15" max="15" width="22" customWidth="1"/>
  </cols>
  <sheetData>
    <row r="1" spans="1:15" ht="14.4">
      <c r="A1" s="1" t="s">
        <v>25</v>
      </c>
      <c r="B1" s="4" t="s">
        <v>0</v>
      </c>
      <c r="C1" s="1" t="s">
        <v>26</v>
      </c>
      <c r="D1" s="1" t="s">
        <v>27</v>
      </c>
      <c r="E1" s="1" t="s">
        <v>28</v>
      </c>
      <c r="F1" s="1" t="s">
        <v>3</v>
      </c>
      <c r="G1" s="1" t="s">
        <v>29</v>
      </c>
      <c r="H1" s="1" t="s">
        <v>30</v>
      </c>
      <c r="I1" s="1" t="s">
        <v>5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5" ht="14.4">
      <c r="A2" s="2" t="s">
        <v>37</v>
      </c>
      <c r="B2" s="2" t="s">
        <v>6</v>
      </c>
      <c r="C2" s="2" t="s">
        <v>38</v>
      </c>
      <c r="D2" s="2" t="s">
        <v>22</v>
      </c>
      <c r="E2" s="3">
        <v>46053</v>
      </c>
      <c r="F2" s="3">
        <v>46053</v>
      </c>
      <c r="G2" s="3">
        <v>46062</v>
      </c>
      <c r="H2" s="3">
        <v>46057</v>
      </c>
      <c r="I2" s="2" t="s">
        <v>39</v>
      </c>
      <c r="J2" s="2" t="s">
        <v>40</v>
      </c>
      <c r="K2" s="2">
        <v>6</v>
      </c>
      <c r="L2" s="2" t="b">
        <f t="shared" ref="L2:L51" si="0">IF(H2&lt;&gt;"",TRUE,FALSE)</f>
        <v>1</v>
      </c>
      <c r="M2" s="2" t="b">
        <f t="shared" ref="M2:M51" ca="1" si="1">IF(AND(L2=FALSE,G2&lt;TODAY()),TRUE,FALSE)</f>
        <v>0</v>
      </c>
      <c r="N2" s="2">
        <f t="shared" ref="N2:N51" si="2">IF(H2&lt;&gt;"",H2-F2,"")</f>
        <v>4</v>
      </c>
      <c r="O2" s="2">
        <f t="shared" ref="O2:O51" si="3">IF(H2&lt;&gt;"",H2-E2,"")</f>
        <v>4</v>
      </c>
    </row>
    <row r="3" spans="1:15" ht="14.4">
      <c r="A3" s="2" t="s">
        <v>41</v>
      </c>
      <c r="B3" s="2" t="s">
        <v>10</v>
      </c>
      <c r="C3" s="2" t="s">
        <v>42</v>
      </c>
      <c r="D3" s="2" t="s">
        <v>21</v>
      </c>
      <c r="E3" s="3">
        <v>46039</v>
      </c>
      <c r="F3" s="3">
        <v>46042</v>
      </c>
      <c r="G3" s="3">
        <v>46049</v>
      </c>
      <c r="H3" s="2"/>
      <c r="I3" s="2" t="s">
        <v>43</v>
      </c>
      <c r="J3" s="2" t="s">
        <v>44</v>
      </c>
      <c r="K3" s="2">
        <v>2</v>
      </c>
      <c r="L3" s="2" t="b">
        <f t="shared" si="0"/>
        <v>0</v>
      </c>
      <c r="M3" s="2" t="b">
        <f t="shared" ca="1" si="1"/>
        <v>1</v>
      </c>
      <c r="N3" s="2" t="str">
        <f t="shared" si="2"/>
        <v/>
      </c>
      <c r="O3" s="2" t="str">
        <f t="shared" si="3"/>
        <v/>
      </c>
    </row>
    <row r="4" spans="1:15" ht="14.4">
      <c r="A4" s="2" t="s">
        <v>45</v>
      </c>
      <c r="B4" s="2" t="s">
        <v>6</v>
      </c>
      <c r="C4" s="2" t="s">
        <v>46</v>
      </c>
      <c r="D4" s="2" t="s">
        <v>22</v>
      </c>
      <c r="E4" s="3">
        <v>46046</v>
      </c>
      <c r="F4" s="3">
        <v>46049</v>
      </c>
      <c r="G4" s="3">
        <v>46053</v>
      </c>
      <c r="H4" s="2"/>
      <c r="I4" s="2" t="s">
        <v>43</v>
      </c>
      <c r="J4" s="2" t="s">
        <v>44</v>
      </c>
      <c r="K4" s="2">
        <v>3</v>
      </c>
      <c r="L4" s="2" t="b">
        <f t="shared" si="0"/>
        <v>0</v>
      </c>
      <c r="M4" s="2" t="b">
        <f t="shared" ca="1" si="1"/>
        <v>1</v>
      </c>
      <c r="N4" s="2" t="str">
        <f t="shared" si="2"/>
        <v/>
      </c>
      <c r="O4" s="2" t="str">
        <f t="shared" si="3"/>
        <v/>
      </c>
    </row>
    <row r="5" spans="1:15" ht="14.4">
      <c r="A5" s="2" t="s">
        <v>47</v>
      </c>
      <c r="B5" s="2" t="s">
        <v>13</v>
      </c>
      <c r="C5" s="2" t="s">
        <v>48</v>
      </c>
      <c r="D5" s="2" t="s">
        <v>24</v>
      </c>
      <c r="E5" s="3">
        <v>46024</v>
      </c>
      <c r="F5" s="3">
        <v>46026</v>
      </c>
      <c r="G5" s="3">
        <v>46036</v>
      </c>
      <c r="H5" s="3">
        <v>46027</v>
      </c>
      <c r="I5" s="2" t="s">
        <v>39</v>
      </c>
      <c r="J5" s="2" t="s">
        <v>49</v>
      </c>
      <c r="K5" s="2">
        <v>2</v>
      </c>
      <c r="L5" s="2" t="b">
        <f t="shared" si="0"/>
        <v>1</v>
      </c>
      <c r="M5" s="2" t="b">
        <f t="shared" ca="1" si="1"/>
        <v>0</v>
      </c>
      <c r="N5" s="2">
        <f t="shared" si="2"/>
        <v>1</v>
      </c>
      <c r="O5" s="2">
        <f t="shared" si="3"/>
        <v>3</v>
      </c>
    </row>
    <row r="6" spans="1:15" ht="14.4">
      <c r="A6" s="2" t="s">
        <v>50</v>
      </c>
      <c r="B6" s="2" t="s">
        <v>10</v>
      </c>
      <c r="C6" s="2" t="s">
        <v>51</v>
      </c>
      <c r="D6" s="2" t="s">
        <v>21</v>
      </c>
      <c r="E6" s="3">
        <v>46033</v>
      </c>
      <c r="F6" s="3">
        <v>46034</v>
      </c>
      <c r="G6" s="3">
        <v>46037</v>
      </c>
      <c r="H6" s="2"/>
      <c r="I6" s="2" t="s">
        <v>43</v>
      </c>
      <c r="J6" s="2" t="s">
        <v>44</v>
      </c>
      <c r="K6" s="2">
        <v>3</v>
      </c>
      <c r="L6" s="2" t="b">
        <f t="shared" si="0"/>
        <v>0</v>
      </c>
      <c r="M6" s="2" t="b">
        <f t="shared" ca="1" si="1"/>
        <v>1</v>
      </c>
      <c r="N6" s="2" t="str">
        <f t="shared" si="2"/>
        <v/>
      </c>
      <c r="O6" s="2" t="str">
        <f t="shared" si="3"/>
        <v/>
      </c>
    </row>
    <row r="7" spans="1:15" ht="14.4">
      <c r="A7" s="2" t="s">
        <v>52</v>
      </c>
      <c r="B7" s="2" t="s">
        <v>6</v>
      </c>
      <c r="C7" s="2" t="s">
        <v>53</v>
      </c>
      <c r="D7" s="2" t="s">
        <v>21</v>
      </c>
      <c r="E7" s="3">
        <v>46042</v>
      </c>
      <c r="F7" s="3">
        <v>46043</v>
      </c>
      <c r="G7" s="3">
        <v>46049</v>
      </c>
      <c r="H7" s="2"/>
      <c r="I7" s="2" t="s">
        <v>54</v>
      </c>
      <c r="J7" s="2" t="s">
        <v>44</v>
      </c>
      <c r="K7" s="2">
        <v>4</v>
      </c>
      <c r="L7" s="2" t="b">
        <f t="shared" si="0"/>
        <v>0</v>
      </c>
      <c r="M7" s="2" t="b">
        <f t="shared" ca="1" si="1"/>
        <v>1</v>
      </c>
      <c r="N7" s="2" t="str">
        <f t="shared" si="2"/>
        <v/>
      </c>
      <c r="O7" s="2" t="str">
        <f t="shared" si="3"/>
        <v/>
      </c>
    </row>
    <row r="8" spans="1:15" ht="14.4">
      <c r="A8" s="2" t="s">
        <v>55</v>
      </c>
      <c r="B8" s="2" t="s">
        <v>13</v>
      </c>
      <c r="C8" s="2" t="s">
        <v>56</v>
      </c>
      <c r="D8" s="2" t="s">
        <v>24</v>
      </c>
      <c r="E8" s="3">
        <v>46036</v>
      </c>
      <c r="F8" s="3">
        <v>46038</v>
      </c>
      <c r="G8" s="3">
        <v>46048</v>
      </c>
      <c r="H8" s="2"/>
      <c r="I8" s="2" t="s">
        <v>43</v>
      </c>
      <c r="J8" s="2" t="s">
        <v>40</v>
      </c>
      <c r="K8" s="2">
        <v>5</v>
      </c>
      <c r="L8" s="2" t="b">
        <f t="shared" si="0"/>
        <v>0</v>
      </c>
      <c r="M8" s="2" t="b">
        <f t="shared" ca="1" si="1"/>
        <v>1</v>
      </c>
      <c r="N8" s="2" t="str">
        <f t="shared" si="2"/>
        <v/>
      </c>
      <c r="O8" s="2" t="str">
        <f t="shared" si="3"/>
        <v/>
      </c>
    </row>
    <row r="9" spans="1:15" ht="14.4">
      <c r="A9" s="2" t="s">
        <v>57</v>
      </c>
      <c r="B9" s="2" t="s">
        <v>13</v>
      </c>
      <c r="C9" s="2" t="s">
        <v>58</v>
      </c>
      <c r="D9" s="2" t="s">
        <v>23</v>
      </c>
      <c r="E9" s="3">
        <v>46046</v>
      </c>
      <c r="F9" s="3">
        <v>46049</v>
      </c>
      <c r="G9" s="3">
        <v>46059</v>
      </c>
      <c r="H9" s="3">
        <v>46055</v>
      </c>
      <c r="I9" s="2" t="s">
        <v>39</v>
      </c>
      <c r="J9" s="2" t="s">
        <v>44</v>
      </c>
      <c r="K9" s="2">
        <v>6</v>
      </c>
      <c r="L9" s="2" t="b">
        <f t="shared" si="0"/>
        <v>1</v>
      </c>
      <c r="M9" s="2" t="b">
        <f t="shared" ca="1" si="1"/>
        <v>0</v>
      </c>
      <c r="N9" s="2">
        <f t="shared" si="2"/>
        <v>6</v>
      </c>
      <c r="O9" s="2">
        <f t="shared" si="3"/>
        <v>9</v>
      </c>
    </row>
    <row r="10" spans="1:15" ht="14.4">
      <c r="A10" s="2" t="s">
        <v>59</v>
      </c>
      <c r="B10" s="2" t="s">
        <v>13</v>
      </c>
      <c r="C10" s="2" t="s">
        <v>60</v>
      </c>
      <c r="D10" s="2" t="s">
        <v>22</v>
      </c>
      <c r="E10" s="3">
        <v>46047</v>
      </c>
      <c r="F10" s="3">
        <v>46049</v>
      </c>
      <c r="G10" s="3">
        <v>46057</v>
      </c>
      <c r="H10" s="3">
        <v>46051</v>
      </c>
      <c r="I10" s="2" t="s">
        <v>39</v>
      </c>
      <c r="J10" s="2" t="s">
        <v>49</v>
      </c>
      <c r="K10" s="2">
        <v>1</v>
      </c>
      <c r="L10" s="2" t="b">
        <f t="shared" si="0"/>
        <v>1</v>
      </c>
      <c r="M10" s="2" t="b">
        <f t="shared" ca="1" si="1"/>
        <v>0</v>
      </c>
      <c r="N10" s="2">
        <f t="shared" si="2"/>
        <v>2</v>
      </c>
      <c r="O10" s="2">
        <f t="shared" si="3"/>
        <v>4</v>
      </c>
    </row>
    <row r="11" spans="1:15" ht="14.4">
      <c r="A11" s="2" t="s">
        <v>61</v>
      </c>
      <c r="B11" s="2" t="s">
        <v>10</v>
      </c>
      <c r="C11" s="2" t="s">
        <v>62</v>
      </c>
      <c r="D11" s="2" t="s">
        <v>19</v>
      </c>
      <c r="E11" s="3">
        <v>46031</v>
      </c>
      <c r="F11" s="3">
        <v>46031</v>
      </c>
      <c r="G11" s="3">
        <v>46039</v>
      </c>
      <c r="H11" s="2"/>
      <c r="I11" s="2" t="s">
        <v>63</v>
      </c>
      <c r="J11" s="2" t="s">
        <v>44</v>
      </c>
      <c r="K11" s="2">
        <v>1</v>
      </c>
      <c r="L11" s="2" t="b">
        <f t="shared" si="0"/>
        <v>0</v>
      </c>
      <c r="M11" s="2" t="b">
        <f t="shared" ca="1" si="1"/>
        <v>1</v>
      </c>
      <c r="N11" s="2" t="str">
        <f t="shared" si="2"/>
        <v/>
      </c>
      <c r="O11" s="2" t="str">
        <f t="shared" si="3"/>
        <v/>
      </c>
    </row>
    <row r="12" spans="1:15" ht="14.4">
      <c r="A12" s="2" t="s">
        <v>64</v>
      </c>
      <c r="B12" s="2" t="s">
        <v>6</v>
      </c>
      <c r="C12" s="2" t="s">
        <v>65</v>
      </c>
      <c r="D12" s="2" t="s">
        <v>22</v>
      </c>
      <c r="E12" s="3">
        <v>46043</v>
      </c>
      <c r="F12" s="3">
        <v>46045</v>
      </c>
      <c r="G12" s="3">
        <v>46048</v>
      </c>
      <c r="H12" s="3">
        <v>46052</v>
      </c>
      <c r="I12" s="2" t="s">
        <v>39</v>
      </c>
      <c r="J12" s="2" t="s">
        <v>40</v>
      </c>
      <c r="K12" s="2">
        <v>6</v>
      </c>
      <c r="L12" s="2" t="b">
        <f t="shared" si="0"/>
        <v>1</v>
      </c>
      <c r="M12" s="2" t="b">
        <f t="shared" ca="1" si="1"/>
        <v>0</v>
      </c>
      <c r="N12" s="2">
        <f t="shared" si="2"/>
        <v>7</v>
      </c>
      <c r="O12" s="2">
        <f t="shared" si="3"/>
        <v>9</v>
      </c>
    </row>
    <row r="13" spans="1:15" ht="14.4">
      <c r="A13" s="2" t="s">
        <v>66</v>
      </c>
      <c r="B13" s="2" t="s">
        <v>10</v>
      </c>
      <c r="C13" s="2" t="s">
        <v>67</v>
      </c>
      <c r="D13" s="2" t="s">
        <v>24</v>
      </c>
      <c r="E13" s="3">
        <v>46031</v>
      </c>
      <c r="F13" s="3">
        <v>46034</v>
      </c>
      <c r="G13" s="3">
        <v>46042</v>
      </c>
      <c r="H13" s="3">
        <v>46035</v>
      </c>
      <c r="I13" s="2" t="s">
        <v>39</v>
      </c>
      <c r="J13" s="2" t="s">
        <v>40</v>
      </c>
      <c r="K13" s="2">
        <v>1</v>
      </c>
      <c r="L13" s="2" t="b">
        <f t="shared" si="0"/>
        <v>1</v>
      </c>
      <c r="M13" s="2" t="b">
        <f t="shared" ca="1" si="1"/>
        <v>0</v>
      </c>
      <c r="N13" s="2">
        <f t="shared" si="2"/>
        <v>1</v>
      </c>
      <c r="O13" s="2">
        <f t="shared" si="3"/>
        <v>4</v>
      </c>
    </row>
    <row r="14" spans="1:15" ht="14.4">
      <c r="A14" s="2" t="s">
        <v>68</v>
      </c>
      <c r="B14" s="2" t="s">
        <v>10</v>
      </c>
      <c r="C14" s="2" t="s">
        <v>69</v>
      </c>
      <c r="D14" s="2" t="s">
        <v>19</v>
      </c>
      <c r="E14" s="3">
        <v>46051</v>
      </c>
      <c r="F14" s="3">
        <v>46051</v>
      </c>
      <c r="G14" s="3">
        <v>46059</v>
      </c>
      <c r="H14" s="2"/>
      <c r="I14" s="2" t="s">
        <v>63</v>
      </c>
      <c r="J14" s="2" t="s">
        <v>44</v>
      </c>
      <c r="K14" s="2">
        <v>1</v>
      </c>
      <c r="L14" s="2" t="b">
        <f t="shared" si="0"/>
        <v>0</v>
      </c>
      <c r="M14" s="2" t="b">
        <f t="shared" ca="1" si="1"/>
        <v>1</v>
      </c>
      <c r="N14" s="2" t="str">
        <f t="shared" si="2"/>
        <v/>
      </c>
      <c r="O14" s="2" t="str">
        <f t="shared" si="3"/>
        <v/>
      </c>
    </row>
    <row r="15" spans="1:15" ht="14.4">
      <c r="A15" s="2" t="s">
        <v>70</v>
      </c>
      <c r="B15" s="2" t="s">
        <v>13</v>
      </c>
      <c r="C15" s="2" t="s">
        <v>71</v>
      </c>
      <c r="D15" s="2" t="s">
        <v>21</v>
      </c>
      <c r="E15" s="3">
        <v>46039</v>
      </c>
      <c r="F15" s="3">
        <v>46042</v>
      </c>
      <c r="G15" s="3">
        <v>46052</v>
      </c>
      <c r="H15" s="3">
        <v>46044</v>
      </c>
      <c r="I15" s="2" t="s">
        <v>39</v>
      </c>
      <c r="J15" s="2" t="s">
        <v>44</v>
      </c>
      <c r="K15" s="2">
        <v>6</v>
      </c>
      <c r="L15" s="2" t="b">
        <f t="shared" si="0"/>
        <v>1</v>
      </c>
      <c r="M15" s="2" t="b">
        <f t="shared" ca="1" si="1"/>
        <v>0</v>
      </c>
      <c r="N15" s="2">
        <f t="shared" si="2"/>
        <v>2</v>
      </c>
      <c r="O15" s="2">
        <f t="shared" si="3"/>
        <v>5</v>
      </c>
    </row>
    <row r="16" spans="1:15" ht="14.4">
      <c r="A16" s="2" t="s">
        <v>72</v>
      </c>
      <c r="B16" s="2" t="s">
        <v>10</v>
      </c>
      <c r="C16" s="2" t="s">
        <v>73</v>
      </c>
      <c r="D16" s="2" t="s">
        <v>19</v>
      </c>
      <c r="E16" s="3">
        <v>46035</v>
      </c>
      <c r="F16" s="3">
        <v>46035</v>
      </c>
      <c r="G16" s="3">
        <v>46044</v>
      </c>
      <c r="H16" s="2"/>
      <c r="I16" s="2" t="s">
        <v>43</v>
      </c>
      <c r="J16" s="2" t="s">
        <v>44</v>
      </c>
      <c r="K16" s="2">
        <v>6</v>
      </c>
      <c r="L16" s="2" t="b">
        <f t="shared" si="0"/>
        <v>0</v>
      </c>
      <c r="M16" s="2" t="b">
        <f t="shared" ca="1" si="1"/>
        <v>1</v>
      </c>
      <c r="N16" s="2" t="str">
        <f t="shared" si="2"/>
        <v/>
      </c>
      <c r="O16" s="2" t="str">
        <f t="shared" si="3"/>
        <v/>
      </c>
    </row>
    <row r="17" spans="1:15" ht="14.4">
      <c r="A17" s="2" t="s">
        <v>74</v>
      </c>
      <c r="B17" s="2" t="s">
        <v>6</v>
      </c>
      <c r="C17" s="2" t="s">
        <v>75</v>
      </c>
      <c r="D17" s="2" t="s">
        <v>21</v>
      </c>
      <c r="E17" s="3">
        <v>46053</v>
      </c>
      <c r="F17" s="3">
        <v>46054</v>
      </c>
      <c r="G17" s="3">
        <v>46057</v>
      </c>
      <c r="H17" s="2"/>
      <c r="I17" s="2" t="s">
        <v>43</v>
      </c>
      <c r="J17" s="2" t="s">
        <v>49</v>
      </c>
      <c r="K17" s="2">
        <v>3</v>
      </c>
      <c r="L17" s="2" t="b">
        <f t="shared" si="0"/>
        <v>0</v>
      </c>
      <c r="M17" s="2" t="b">
        <f t="shared" ca="1" si="1"/>
        <v>1</v>
      </c>
      <c r="N17" s="2" t="str">
        <f t="shared" si="2"/>
        <v/>
      </c>
      <c r="O17" s="2" t="str">
        <f t="shared" si="3"/>
        <v/>
      </c>
    </row>
    <row r="18" spans="1:15" ht="14.4">
      <c r="A18" s="2" t="s">
        <v>76</v>
      </c>
      <c r="B18" s="2" t="s">
        <v>6</v>
      </c>
      <c r="C18" s="2" t="s">
        <v>77</v>
      </c>
      <c r="D18" s="2" t="s">
        <v>23</v>
      </c>
      <c r="E18" s="3">
        <v>46035</v>
      </c>
      <c r="F18" s="3">
        <v>46037</v>
      </c>
      <c r="G18" s="3">
        <v>46041</v>
      </c>
      <c r="H18" s="3">
        <v>46044</v>
      </c>
      <c r="I18" s="2" t="s">
        <v>39</v>
      </c>
      <c r="J18" s="2" t="s">
        <v>49</v>
      </c>
      <c r="K18" s="2">
        <v>6</v>
      </c>
      <c r="L18" s="2" t="b">
        <f t="shared" si="0"/>
        <v>1</v>
      </c>
      <c r="M18" s="2" t="b">
        <f t="shared" ca="1" si="1"/>
        <v>0</v>
      </c>
      <c r="N18" s="2">
        <f t="shared" si="2"/>
        <v>7</v>
      </c>
      <c r="O18" s="2">
        <f t="shared" si="3"/>
        <v>9</v>
      </c>
    </row>
    <row r="19" spans="1:15" ht="14.4">
      <c r="A19" s="2" t="s">
        <v>78</v>
      </c>
      <c r="B19" s="2" t="s">
        <v>13</v>
      </c>
      <c r="C19" s="2" t="s">
        <v>79</v>
      </c>
      <c r="D19" s="2" t="s">
        <v>22</v>
      </c>
      <c r="E19" s="3">
        <v>46036</v>
      </c>
      <c r="F19" s="3">
        <v>46039</v>
      </c>
      <c r="G19" s="3">
        <v>46047</v>
      </c>
      <c r="H19" s="2"/>
      <c r="I19" s="2" t="s">
        <v>43</v>
      </c>
      <c r="J19" s="2" t="s">
        <v>49</v>
      </c>
      <c r="K19" s="2">
        <v>5</v>
      </c>
      <c r="L19" s="2" t="b">
        <f t="shared" si="0"/>
        <v>0</v>
      </c>
      <c r="M19" s="2" t="b">
        <f t="shared" ca="1" si="1"/>
        <v>1</v>
      </c>
      <c r="N19" s="2" t="str">
        <f t="shared" si="2"/>
        <v/>
      </c>
      <c r="O19" s="2" t="str">
        <f t="shared" si="3"/>
        <v/>
      </c>
    </row>
    <row r="20" spans="1:15" ht="14.4">
      <c r="A20" s="2" t="s">
        <v>80</v>
      </c>
      <c r="B20" s="2" t="s">
        <v>10</v>
      </c>
      <c r="C20" s="2" t="s">
        <v>81</v>
      </c>
      <c r="D20" s="2" t="s">
        <v>23</v>
      </c>
      <c r="E20" s="3">
        <v>46047</v>
      </c>
      <c r="F20" s="3">
        <v>46049</v>
      </c>
      <c r="G20" s="3">
        <v>46054</v>
      </c>
      <c r="H20" s="2"/>
      <c r="I20" s="2" t="s">
        <v>63</v>
      </c>
      <c r="J20" s="2" t="s">
        <v>49</v>
      </c>
      <c r="K20" s="2">
        <v>3</v>
      </c>
      <c r="L20" s="2" t="b">
        <f t="shared" si="0"/>
        <v>0</v>
      </c>
      <c r="M20" s="2" t="b">
        <f t="shared" ca="1" si="1"/>
        <v>1</v>
      </c>
      <c r="N20" s="2" t="str">
        <f t="shared" si="2"/>
        <v/>
      </c>
      <c r="O20" s="2" t="str">
        <f t="shared" si="3"/>
        <v/>
      </c>
    </row>
    <row r="21" spans="1:15" ht="15.75" customHeight="1">
      <c r="A21" s="2" t="s">
        <v>82</v>
      </c>
      <c r="B21" s="2" t="s">
        <v>10</v>
      </c>
      <c r="C21" s="2" t="s">
        <v>83</v>
      </c>
      <c r="D21" s="2" t="s">
        <v>23</v>
      </c>
      <c r="E21" s="3">
        <v>46046</v>
      </c>
      <c r="F21" s="3">
        <v>46046</v>
      </c>
      <c r="G21" s="3">
        <v>46051</v>
      </c>
      <c r="H21" s="2"/>
      <c r="I21" s="2" t="s">
        <v>43</v>
      </c>
      <c r="J21" s="2" t="s">
        <v>44</v>
      </c>
      <c r="K21" s="2">
        <v>3</v>
      </c>
      <c r="L21" s="2" t="b">
        <f t="shared" si="0"/>
        <v>0</v>
      </c>
      <c r="M21" s="2" t="b">
        <f t="shared" ca="1" si="1"/>
        <v>1</v>
      </c>
      <c r="N21" s="2" t="str">
        <f t="shared" si="2"/>
        <v/>
      </c>
      <c r="O21" s="2" t="str">
        <f t="shared" si="3"/>
        <v/>
      </c>
    </row>
    <row r="22" spans="1:15" ht="15.75" customHeight="1">
      <c r="A22" s="2" t="s">
        <v>84</v>
      </c>
      <c r="B22" s="2" t="s">
        <v>13</v>
      </c>
      <c r="C22" s="2" t="s">
        <v>85</v>
      </c>
      <c r="D22" s="2" t="s">
        <v>23</v>
      </c>
      <c r="E22" s="3">
        <v>46032</v>
      </c>
      <c r="F22" s="3">
        <v>46034</v>
      </c>
      <c r="G22" s="3">
        <v>46038</v>
      </c>
      <c r="H22" s="2"/>
      <c r="I22" s="2" t="s">
        <v>63</v>
      </c>
      <c r="J22" s="2" t="s">
        <v>44</v>
      </c>
      <c r="K22" s="2">
        <v>1</v>
      </c>
      <c r="L22" s="2" t="b">
        <f t="shared" si="0"/>
        <v>0</v>
      </c>
      <c r="M22" s="2" t="b">
        <f t="shared" ca="1" si="1"/>
        <v>1</v>
      </c>
      <c r="N22" s="2" t="str">
        <f t="shared" si="2"/>
        <v/>
      </c>
      <c r="O22" s="2" t="str">
        <f t="shared" si="3"/>
        <v/>
      </c>
    </row>
    <row r="23" spans="1:15" ht="15.75" customHeight="1">
      <c r="A23" s="2" t="s">
        <v>86</v>
      </c>
      <c r="B23" s="2" t="s">
        <v>6</v>
      </c>
      <c r="C23" s="2" t="s">
        <v>87</v>
      </c>
      <c r="D23" s="2" t="s">
        <v>19</v>
      </c>
      <c r="E23" s="3">
        <v>46053</v>
      </c>
      <c r="F23" s="3">
        <v>46054</v>
      </c>
      <c r="G23" s="3">
        <v>46061</v>
      </c>
      <c r="H23" s="2"/>
      <c r="I23" s="2" t="s">
        <v>54</v>
      </c>
      <c r="J23" s="2" t="s">
        <v>49</v>
      </c>
      <c r="K23" s="2">
        <v>5</v>
      </c>
      <c r="L23" s="2" t="b">
        <f t="shared" si="0"/>
        <v>0</v>
      </c>
      <c r="M23" s="2" t="b">
        <f t="shared" ca="1" si="1"/>
        <v>1</v>
      </c>
      <c r="N23" s="2" t="str">
        <f t="shared" si="2"/>
        <v/>
      </c>
      <c r="O23" s="2" t="str">
        <f t="shared" si="3"/>
        <v/>
      </c>
    </row>
    <row r="24" spans="1:15" ht="15.75" customHeight="1">
      <c r="A24" s="2" t="s">
        <v>88</v>
      </c>
      <c r="B24" s="2" t="s">
        <v>10</v>
      </c>
      <c r="C24" s="2" t="s">
        <v>89</v>
      </c>
      <c r="D24" s="2" t="s">
        <v>24</v>
      </c>
      <c r="E24" s="3">
        <v>46044</v>
      </c>
      <c r="F24" s="3">
        <v>46046</v>
      </c>
      <c r="G24" s="3">
        <v>46056</v>
      </c>
      <c r="H24" s="2"/>
      <c r="I24" s="2" t="s">
        <v>54</v>
      </c>
      <c r="J24" s="2" t="s">
        <v>44</v>
      </c>
      <c r="K24" s="2">
        <v>1</v>
      </c>
      <c r="L24" s="2" t="b">
        <f t="shared" si="0"/>
        <v>0</v>
      </c>
      <c r="M24" s="2" t="b">
        <f t="shared" ca="1" si="1"/>
        <v>1</v>
      </c>
      <c r="N24" s="2" t="str">
        <f t="shared" si="2"/>
        <v/>
      </c>
      <c r="O24" s="2" t="str">
        <f t="shared" si="3"/>
        <v/>
      </c>
    </row>
    <row r="25" spans="1:15" ht="15.75" customHeight="1">
      <c r="A25" s="2" t="s">
        <v>90</v>
      </c>
      <c r="B25" s="2" t="s">
        <v>13</v>
      </c>
      <c r="C25" s="2" t="s">
        <v>91</v>
      </c>
      <c r="D25" s="2" t="s">
        <v>24</v>
      </c>
      <c r="E25" s="3">
        <v>46023</v>
      </c>
      <c r="F25" s="3">
        <v>46024</v>
      </c>
      <c r="G25" s="3">
        <v>46031</v>
      </c>
      <c r="H25" s="2"/>
      <c r="I25" s="2" t="s">
        <v>63</v>
      </c>
      <c r="J25" s="2" t="s">
        <v>40</v>
      </c>
      <c r="K25" s="2">
        <v>3</v>
      </c>
      <c r="L25" s="2" t="b">
        <f t="shared" si="0"/>
        <v>0</v>
      </c>
      <c r="M25" s="2" t="b">
        <f t="shared" ca="1" si="1"/>
        <v>1</v>
      </c>
      <c r="N25" s="2" t="str">
        <f t="shared" si="2"/>
        <v/>
      </c>
      <c r="O25" s="2" t="str">
        <f t="shared" si="3"/>
        <v/>
      </c>
    </row>
    <row r="26" spans="1:15" ht="15.75" customHeight="1">
      <c r="A26" s="2" t="s">
        <v>92</v>
      </c>
      <c r="B26" s="2" t="s">
        <v>13</v>
      </c>
      <c r="C26" s="2" t="s">
        <v>93</v>
      </c>
      <c r="D26" s="2" t="s">
        <v>24</v>
      </c>
      <c r="E26" s="3">
        <v>46039</v>
      </c>
      <c r="F26" s="3">
        <v>46042</v>
      </c>
      <c r="G26" s="3">
        <v>46046</v>
      </c>
      <c r="H26" s="2"/>
      <c r="I26" s="2" t="s">
        <v>54</v>
      </c>
      <c r="J26" s="2" t="s">
        <v>44</v>
      </c>
      <c r="K26" s="2">
        <v>5</v>
      </c>
      <c r="L26" s="2" t="b">
        <f t="shared" si="0"/>
        <v>0</v>
      </c>
      <c r="M26" s="2" t="b">
        <f t="shared" ca="1" si="1"/>
        <v>1</v>
      </c>
      <c r="N26" s="2" t="str">
        <f t="shared" si="2"/>
        <v/>
      </c>
      <c r="O26" s="2" t="str">
        <f t="shared" si="3"/>
        <v/>
      </c>
    </row>
    <row r="27" spans="1:15" ht="15.75" customHeight="1">
      <c r="A27" s="2" t="s">
        <v>94</v>
      </c>
      <c r="B27" s="2" t="s">
        <v>6</v>
      </c>
      <c r="C27" s="2" t="s">
        <v>95</v>
      </c>
      <c r="D27" s="2" t="s">
        <v>23</v>
      </c>
      <c r="E27" s="3">
        <v>46048</v>
      </c>
      <c r="F27" s="3">
        <v>46051</v>
      </c>
      <c r="G27" s="3">
        <v>46061</v>
      </c>
      <c r="H27" s="2"/>
      <c r="I27" s="2" t="s">
        <v>54</v>
      </c>
      <c r="J27" s="2" t="s">
        <v>40</v>
      </c>
      <c r="K27" s="2">
        <v>3</v>
      </c>
      <c r="L27" s="2" t="b">
        <f t="shared" si="0"/>
        <v>0</v>
      </c>
      <c r="M27" s="2" t="b">
        <f t="shared" ca="1" si="1"/>
        <v>1</v>
      </c>
      <c r="N27" s="2" t="str">
        <f t="shared" si="2"/>
        <v/>
      </c>
      <c r="O27" s="2" t="str">
        <f t="shared" si="3"/>
        <v/>
      </c>
    </row>
    <row r="28" spans="1:15" ht="15.75" customHeight="1">
      <c r="A28" s="2" t="s">
        <v>96</v>
      </c>
      <c r="B28" s="2" t="s">
        <v>6</v>
      </c>
      <c r="C28" s="2" t="s">
        <v>97</v>
      </c>
      <c r="D28" s="2" t="s">
        <v>19</v>
      </c>
      <c r="E28" s="3">
        <v>46050</v>
      </c>
      <c r="F28" s="3">
        <v>46052</v>
      </c>
      <c r="G28" s="3">
        <v>46062</v>
      </c>
      <c r="H28" s="2"/>
      <c r="I28" s="2" t="s">
        <v>43</v>
      </c>
      <c r="J28" s="2" t="s">
        <v>40</v>
      </c>
      <c r="K28" s="2">
        <v>4</v>
      </c>
      <c r="L28" s="2" t="b">
        <f t="shared" si="0"/>
        <v>0</v>
      </c>
      <c r="M28" s="2" t="b">
        <f t="shared" ca="1" si="1"/>
        <v>1</v>
      </c>
      <c r="N28" s="2" t="str">
        <f t="shared" si="2"/>
        <v/>
      </c>
      <c r="O28" s="2" t="str">
        <f t="shared" si="3"/>
        <v/>
      </c>
    </row>
    <row r="29" spans="1:15" ht="15.75" customHeight="1">
      <c r="A29" s="2" t="s">
        <v>98</v>
      </c>
      <c r="B29" s="2" t="s">
        <v>10</v>
      </c>
      <c r="C29" s="2" t="s">
        <v>99</v>
      </c>
      <c r="D29" s="2" t="s">
        <v>19</v>
      </c>
      <c r="E29" s="3">
        <v>46025</v>
      </c>
      <c r="F29" s="3">
        <v>46025</v>
      </c>
      <c r="G29" s="3">
        <v>46035</v>
      </c>
      <c r="H29" s="2"/>
      <c r="I29" s="2" t="s">
        <v>43</v>
      </c>
      <c r="J29" s="2" t="s">
        <v>49</v>
      </c>
      <c r="K29" s="2">
        <v>7</v>
      </c>
      <c r="L29" s="2" t="b">
        <f t="shared" si="0"/>
        <v>0</v>
      </c>
      <c r="M29" s="2" t="b">
        <f t="shared" ca="1" si="1"/>
        <v>1</v>
      </c>
      <c r="N29" s="2" t="str">
        <f t="shared" si="2"/>
        <v/>
      </c>
      <c r="O29" s="2" t="str">
        <f t="shared" si="3"/>
        <v/>
      </c>
    </row>
    <row r="30" spans="1:15" ht="15.75" customHeight="1">
      <c r="A30" s="2" t="s">
        <v>100</v>
      </c>
      <c r="B30" s="2" t="s">
        <v>6</v>
      </c>
      <c r="C30" s="2" t="s">
        <v>101</v>
      </c>
      <c r="D30" s="2" t="s">
        <v>19</v>
      </c>
      <c r="E30" s="3">
        <v>46037</v>
      </c>
      <c r="F30" s="3">
        <v>46037</v>
      </c>
      <c r="G30" s="3">
        <v>46047</v>
      </c>
      <c r="H30" s="3">
        <v>46038</v>
      </c>
      <c r="I30" s="2" t="s">
        <v>39</v>
      </c>
      <c r="J30" s="2" t="s">
        <v>49</v>
      </c>
      <c r="K30" s="2">
        <v>5</v>
      </c>
      <c r="L30" s="2" t="b">
        <f t="shared" si="0"/>
        <v>1</v>
      </c>
      <c r="M30" s="2" t="b">
        <f t="shared" ca="1" si="1"/>
        <v>0</v>
      </c>
      <c r="N30" s="2">
        <f t="shared" si="2"/>
        <v>1</v>
      </c>
      <c r="O30" s="2">
        <f t="shared" si="3"/>
        <v>1</v>
      </c>
    </row>
    <row r="31" spans="1:15" ht="15.75" customHeight="1">
      <c r="A31" s="2" t="s">
        <v>102</v>
      </c>
      <c r="B31" s="2" t="s">
        <v>6</v>
      </c>
      <c r="C31" s="2" t="s">
        <v>103</v>
      </c>
      <c r="D31" s="2" t="s">
        <v>19</v>
      </c>
      <c r="E31" s="3">
        <v>46023</v>
      </c>
      <c r="F31" s="3">
        <v>46023</v>
      </c>
      <c r="G31" s="3">
        <v>46028</v>
      </c>
      <c r="H31" s="2"/>
      <c r="I31" s="2" t="s">
        <v>43</v>
      </c>
      <c r="J31" s="2" t="s">
        <v>44</v>
      </c>
      <c r="K31" s="2">
        <v>7</v>
      </c>
      <c r="L31" s="2" t="b">
        <f t="shared" si="0"/>
        <v>0</v>
      </c>
      <c r="M31" s="2" t="b">
        <f t="shared" ca="1" si="1"/>
        <v>1</v>
      </c>
      <c r="N31" s="2" t="str">
        <f t="shared" si="2"/>
        <v/>
      </c>
      <c r="O31" s="2" t="str">
        <f t="shared" si="3"/>
        <v/>
      </c>
    </row>
    <row r="32" spans="1:15" ht="15.75" customHeight="1">
      <c r="A32" s="2" t="s">
        <v>104</v>
      </c>
      <c r="B32" s="2" t="s">
        <v>6</v>
      </c>
      <c r="C32" s="2" t="s">
        <v>105</v>
      </c>
      <c r="D32" s="2" t="s">
        <v>19</v>
      </c>
      <c r="E32" s="3">
        <v>46027</v>
      </c>
      <c r="F32" s="3">
        <v>46030</v>
      </c>
      <c r="G32" s="3">
        <v>46038</v>
      </c>
      <c r="H32" s="3">
        <v>46037</v>
      </c>
      <c r="I32" s="2" t="s">
        <v>39</v>
      </c>
      <c r="J32" s="2" t="s">
        <v>44</v>
      </c>
      <c r="K32" s="2">
        <v>3</v>
      </c>
      <c r="L32" s="2" t="b">
        <f t="shared" si="0"/>
        <v>1</v>
      </c>
      <c r="M32" s="2" t="b">
        <f t="shared" ca="1" si="1"/>
        <v>0</v>
      </c>
      <c r="N32" s="2">
        <f t="shared" si="2"/>
        <v>7</v>
      </c>
      <c r="O32" s="2">
        <f t="shared" si="3"/>
        <v>10</v>
      </c>
    </row>
    <row r="33" spans="1:15" ht="15.75" customHeight="1">
      <c r="A33" s="2" t="s">
        <v>106</v>
      </c>
      <c r="B33" s="2" t="s">
        <v>6</v>
      </c>
      <c r="C33" s="2" t="s">
        <v>107</v>
      </c>
      <c r="D33" s="2" t="s">
        <v>24</v>
      </c>
      <c r="E33" s="3">
        <v>46048</v>
      </c>
      <c r="F33" s="3">
        <v>46048</v>
      </c>
      <c r="G33" s="3">
        <v>46058</v>
      </c>
      <c r="H33" s="2"/>
      <c r="I33" s="2" t="s">
        <v>43</v>
      </c>
      <c r="J33" s="2" t="s">
        <v>44</v>
      </c>
      <c r="K33" s="2">
        <v>8</v>
      </c>
      <c r="L33" s="2" t="b">
        <f t="shared" si="0"/>
        <v>0</v>
      </c>
      <c r="M33" s="2" t="b">
        <f t="shared" ca="1" si="1"/>
        <v>1</v>
      </c>
      <c r="N33" s="2" t="str">
        <f t="shared" si="2"/>
        <v/>
      </c>
      <c r="O33" s="2" t="str">
        <f t="shared" si="3"/>
        <v/>
      </c>
    </row>
    <row r="34" spans="1:15" ht="15.75" customHeight="1">
      <c r="A34" s="2" t="s">
        <v>108</v>
      </c>
      <c r="B34" s="2" t="s">
        <v>6</v>
      </c>
      <c r="C34" s="2" t="s">
        <v>109</v>
      </c>
      <c r="D34" s="2" t="s">
        <v>22</v>
      </c>
      <c r="E34" s="3">
        <v>46039</v>
      </c>
      <c r="F34" s="3">
        <v>46040</v>
      </c>
      <c r="G34" s="3">
        <v>46048</v>
      </c>
      <c r="H34" s="2"/>
      <c r="I34" s="2" t="s">
        <v>43</v>
      </c>
      <c r="J34" s="2" t="s">
        <v>40</v>
      </c>
      <c r="K34" s="2">
        <v>6</v>
      </c>
      <c r="L34" s="2" t="b">
        <f t="shared" si="0"/>
        <v>0</v>
      </c>
      <c r="M34" s="2" t="b">
        <f t="shared" ca="1" si="1"/>
        <v>1</v>
      </c>
      <c r="N34" s="2" t="str">
        <f t="shared" si="2"/>
        <v/>
      </c>
      <c r="O34" s="2" t="str">
        <f t="shared" si="3"/>
        <v/>
      </c>
    </row>
    <row r="35" spans="1:15" ht="15.75" customHeight="1">
      <c r="A35" s="2" t="s">
        <v>110</v>
      </c>
      <c r="B35" s="2" t="s">
        <v>6</v>
      </c>
      <c r="C35" s="2" t="s">
        <v>111</v>
      </c>
      <c r="D35" s="2" t="s">
        <v>19</v>
      </c>
      <c r="E35" s="3">
        <v>46048</v>
      </c>
      <c r="F35" s="3">
        <v>46049</v>
      </c>
      <c r="G35" s="3">
        <v>46053</v>
      </c>
      <c r="H35" s="3">
        <v>46054</v>
      </c>
      <c r="I35" s="2" t="s">
        <v>39</v>
      </c>
      <c r="J35" s="2" t="s">
        <v>40</v>
      </c>
      <c r="K35" s="2">
        <v>6</v>
      </c>
      <c r="L35" s="2" t="b">
        <f t="shared" si="0"/>
        <v>1</v>
      </c>
      <c r="M35" s="2" t="b">
        <f t="shared" ca="1" si="1"/>
        <v>0</v>
      </c>
      <c r="N35" s="2">
        <f t="shared" si="2"/>
        <v>5</v>
      </c>
      <c r="O35" s="2">
        <f t="shared" si="3"/>
        <v>6</v>
      </c>
    </row>
    <row r="36" spans="1:15" ht="15.75" customHeight="1">
      <c r="A36" s="2" t="s">
        <v>112</v>
      </c>
      <c r="B36" s="2" t="s">
        <v>10</v>
      </c>
      <c r="C36" s="2" t="s">
        <v>113</v>
      </c>
      <c r="D36" s="2" t="s">
        <v>22</v>
      </c>
      <c r="E36" s="3">
        <v>46037</v>
      </c>
      <c r="F36" s="3">
        <v>46037</v>
      </c>
      <c r="G36" s="3">
        <v>46044</v>
      </c>
      <c r="H36" s="3">
        <v>46039</v>
      </c>
      <c r="I36" s="2" t="s">
        <v>39</v>
      </c>
      <c r="J36" s="2" t="s">
        <v>49</v>
      </c>
      <c r="K36" s="2">
        <v>1</v>
      </c>
      <c r="L36" s="2" t="b">
        <f t="shared" si="0"/>
        <v>1</v>
      </c>
      <c r="M36" s="2" t="b">
        <f t="shared" ca="1" si="1"/>
        <v>0</v>
      </c>
      <c r="N36" s="2">
        <f t="shared" si="2"/>
        <v>2</v>
      </c>
      <c r="O36" s="2">
        <f t="shared" si="3"/>
        <v>2</v>
      </c>
    </row>
    <row r="37" spans="1:15" ht="15.75" customHeight="1">
      <c r="A37" s="2" t="s">
        <v>114</v>
      </c>
      <c r="B37" s="2" t="s">
        <v>10</v>
      </c>
      <c r="C37" s="2" t="s">
        <v>115</v>
      </c>
      <c r="D37" s="2" t="s">
        <v>22</v>
      </c>
      <c r="E37" s="3">
        <v>46048</v>
      </c>
      <c r="F37" s="3">
        <v>46048</v>
      </c>
      <c r="G37" s="3">
        <v>46054</v>
      </c>
      <c r="H37" s="3">
        <v>46052</v>
      </c>
      <c r="I37" s="2" t="s">
        <v>39</v>
      </c>
      <c r="J37" s="2" t="s">
        <v>44</v>
      </c>
      <c r="K37" s="2">
        <v>3</v>
      </c>
      <c r="L37" s="2" t="b">
        <f t="shared" si="0"/>
        <v>1</v>
      </c>
      <c r="M37" s="2" t="b">
        <f t="shared" ca="1" si="1"/>
        <v>0</v>
      </c>
      <c r="N37" s="2">
        <f t="shared" si="2"/>
        <v>4</v>
      </c>
      <c r="O37" s="2">
        <f t="shared" si="3"/>
        <v>4</v>
      </c>
    </row>
    <row r="38" spans="1:15" ht="15.75" customHeight="1">
      <c r="A38" s="2" t="s">
        <v>116</v>
      </c>
      <c r="B38" s="2" t="s">
        <v>10</v>
      </c>
      <c r="C38" s="2" t="s">
        <v>117</v>
      </c>
      <c r="D38" s="2" t="s">
        <v>21</v>
      </c>
      <c r="E38" s="3">
        <v>46052</v>
      </c>
      <c r="F38" s="3">
        <v>46055</v>
      </c>
      <c r="G38" s="3">
        <v>46059</v>
      </c>
      <c r="H38" s="2"/>
      <c r="I38" s="2" t="s">
        <v>63</v>
      </c>
      <c r="J38" s="2" t="s">
        <v>40</v>
      </c>
      <c r="K38" s="2">
        <v>8</v>
      </c>
      <c r="L38" s="2" t="b">
        <f t="shared" si="0"/>
        <v>0</v>
      </c>
      <c r="M38" s="2" t="b">
        <f t="shared" ca="1" si="1"/>
        <v>1</v>
      </c>
      <c r="N38" s="2" t="str">
        <f t="shared" si="2"/>
        <v/>
      </c>
      <c r="O38" s="2" t="str">
        <f t="shared" si="3"/>
        <v/>
      </c>
    </row>
    <row r="39" spans="1:15" ht="15.75" customHeight="1">
      <c r="A39" s="2" t="s">
        <v>118</v>
      </c>
      <c r="B39" s="2" t="s">
        <v>6</v>
      </c>
      <c r="C39" s="2" t="s">
        <v>119</v>
      </c>
      <c r="D39" s="2" t="s">
        <v>19</v>
      </c>
      <c r="E39" s="3">
        <v>46050</v>
      </c>
      <c r="F39" s="3">
        <v>46051</v>
      </c>
      <c r="G39" s="3">
        <v>46061</v>
      </c>
      <c r="H39" s="2"/>
      <c r="I39" s="2" t="s">
        <v>54</v>
      </c>
      <c r="J39" s="2" t="s">
        <v>49</v>
      </c>
      <c r="K39" s="2">
        <v>7</v>
      </c>
      <c r="L39" s="2" t="b">
        <f t="shared" si="0"/>
        <v>0</v>
      </c>
      <c r="M39" s="2" t="b">
        <f t="shared" ca="1" si="1"/>
        <v>1</v>
      </c>
      <c r="N39" s="2" t="str">
        <f t="shared" si="2"/>
        <v/>
      </c>
      <c r="O39" s="2" t="str">
        <f t="shared" si="3"/>
        <v/>
      </c>
    </row>
    <row r="40" spans="1:15" ht="15.75" customHeight="1">
      <c r="A40" s="2" t="s">
        <v>120</v>
      </c>
      <c r="B40" s="2" t="s">
        <v>13</v>
      </c>
      <c r="C40" s="2" t="s">
        <v>121</v>
      </c>
      <c r="D40" s="2" t="s">
        <v>23</v>
      </c>
      <c r="E40" s="3">
        <v>46049</v>
      </c>
      <c r="F40" s="3">
        <v>46050</v>
      </c>
      <c r="G40" s="3">
        <v>46054</v>
      </c>
      <c r="H40" s="3">
        <v>46055</v>
      </c>
      <c r="I40" s="2" t="s">
        <v>39</v>
      </c>
      <c r="J40" s="2" t="s">
        <v>49</v>
      </c>
      <c r="K40" s="2">
        <v>4</v>
      </c>
      <c r="L40" s="2" t="b">
        <f t="shared" si="0"/>
        <v>1</v>
      </c>
      <c r="M40" s="2" t="b">
        <f t="shared" ca="1" si="1"/>
        <v>0</v>
      </c>
      <c r="N40" s="2">
        <f t="shared" si="2"/>
        <v>5</v>
      </c>
      <c r="O40" s="2">
        <f t="shared" si="3"/>
        <v>6</v>
      </c>
    </row>
    <row r="41" spans="1:15" ht="15.75" customHeight="1">
      <c r="A41" s="2" t="s">
        <v>122</v>
      </c>
      <c r="B41" s="2" t="s">
        <v>6</v>
      </c>
      <c r="C41" s="2" t="s">
        <v>123</v>
      </c>
      <c r="D41" s="2" t="s">
        <v>19</v>
      </c>
      <c r="E41" s="3">
        <v>46033</v>
      </c>
      <c r="F41" s="3">
        <v>46036</v>
      </c>
      <c r="G41" s="3">
        <v>46044</v>
      </c>
      <c r="H41" s="2"/>
      <c r="I41" s="2" t="s">
        <v>63</v>
      </c>
      <c r="J41" s="2" t="s">
        <v>40</v>
      </c>
      <c r="K41" s="2">
        <v>5</v>
      </c>
      <c r="L41" s="2" t="b">
        <f t="shared" si="0"/>
        <v>0</v>
      </c>
      <c r="M41" s="2" t="b">
        <f t="shared" ca="1" si="1"/>
        <v>1</v>
      </c>
      <c r="N41" s="2" t="str">
        <f t="shared" si="2"/>
        <v/>
      </c>
      <c r="O41" s="2" t="str">
        <f t="shared" si="3"/>
        <v/>
      </c>
    </row>
    <row r="42" spans="1:15" ht="15.75" customHeight="1">
      <c r="A42" s="2" t="s">
        <v>124</v>
      </c>
      <c r="B42" s="2" t="s">
        <v>13</v>
      </c>
      <c r="C42" s="2" t="s">
        <v>125</v>
      </c>
      <c r="D42" s="2" t="s">
        <v>23</v>
      </c>
      <c r="E42" s="3">
        <v>46052</v>
      </c>
      <c r="F42" s="3">
        <v>46055</v>
      </c>
      <c r="G42" s="3">
        <v>46060</v>
      </c>
      <c r="H42" s="2"/>
      <c r="I42" s="2" t="s">
        <v>63</v>
      </c>
      <c r="J42" s="2" t="s">
        <v>49</v>
      </c>
      <c r="K42" s="2">
        <v>1</v>
      </c>
      <c r="L42" s="2" t="b">
        <f t="shared" si="0"/>
        <v>0</v>
      </c>
      <c r="M42" s="2" t="b">
        <f t="shared" ca="1" si="1"/>
        <v>1</v>
      </c>
      <c r="N42" s="2" t="str">
        <f t="shared" si="2"/>
        <v/>
      </c>
      <c r="O42" s="2" t="str">
        <f t="shared" si="3"/>
        <v/>
      </c>
    </row>
    <row r="43" spans="1:15" ht="15.75" customHeight="1">
      <c r="A43" s="2" t="s">
        <v>126</v>
      </c>
      <c r="B43" s="2" t="s">
        <v>13</v>
      </c>
      <c r="C43" s="2" t="s">
        <v>127</v>
      </c>
      <c r="D43" s="2" t="s">
        <v>21</v>
      </c>
      <c r="E43" s="3">
        <v>46052</v>
      </c>
      <c r="F43" s="3">
        <v>46054</v>
      </c>
      <c r="G43" s="3">
        <v>46059</v>
      </c>
      <c r="H43" s="2"/>
      <c r="I43" s="2" t="s">
        <v>63</v>
      </c>
      <c r="J43" s="2" t="s">
        <v>49</v>
      </c>
      <c r="K43" s="2">
        <v>6</v>
      </c>
      <c r="L43" s="2" t="b">
        <f t="shared" si="0"/>
        <v>0</v>
      </c>
      <c r="M43" s="2" t="b">
        <f t="shared" ca="1" si="1"/>
        <v>1</v>
      </c>
      <c r="N43" s="2" t="str">
        <f t="shared" si="2"/>
        <v/>
      </c>
      <c r="O43" s="2" t="str">
        <f t="shared" si="3"/>
        <v/>
      </c>
    </row>
    <row r="44" spans="1:15" ht="15.75" customHeight="1">
      <c r="A44" s="2" t="s">
        <v>128</v>
      </c>
      <c r="B44" s="2" t="s">
        <v>10</v>
      </c>
      <c r="C44" s="2" t="s">
        <v>129</v>
      </c>
      <c r="D44" s="2" t="s">
        <v>24</v>
      </c>
      <c r="E44" s="3">
        <v>46028</v>
      </c>
      <c r="F44" s="3">
        <v>46031</v>
      </c>
      <c r="G44" s="3">
        <v>46039</v>
      </c>
      <c r="H44" s="2"/>
      <c r="I44" s="2" t="s">
        <v>43</v>
      </c>
      <c r="J44" s="2" t="s">
        <v>44</v>
      </c>
      <c r="K44" s="2">
        <v>5</v>
      </c>
      <c r="L44" s="2" t="b">
        <f t="shared" si="0"/>
        <v>0</v>
      </c>
      <c r="M44" s="2" t="b">
        <f t="shared" ca="1" si="1"/>
        <v>1</v>
      </c>
      <c r="N44" s="2" t="str">
        <f t="shared" si="2"/>
        <v/>
      </c>
      <c r="O44" s="2" t="str">
        <f t="shared" si="3"/>
        <v/>
      </c>
    </row>
    <row r="45" spans="1:15" ht="15.75" customHeight="1">
      <c r="A45" s="2" t="s">
        <v>130</v>
      </c>
      <c r="B45" s="2" t="s">
        <v>10</v>
      </c>
      <c r="C45" s="2" t="s">
        <v>131</v>
      </c>
      <c r="D45" s="2" t="s">
        <v>19</v>
      </c>
      <c r="E45" s="3">
        <v>46042</v>
      </c>
      <c r="F45" s="3">
        <v>46044</v>
      </c>
      <c r="G45" s="3">
        <v>46050</v>
      </c>
      <c r="H45" s="2"/>
      <c r="I45" s="2" t="s">
        <v>54</v>
      </c>
      <c r="J45" s="2" t="s">
        <v>44</v>
      </c>
      <c r="K45" s="2">
        <v>2</v>
      </c>
      <c r="L45" s="2" t="b">
        <f t="shared" si="0"/>
        <v>0</v>
      </c>
      <c r="M45" s="2" t="b">
        <f t="shared" ca="1" si="1"/>
        <v>1</v>
      </c>
      <c r="N45" s="2" t="str">
        <f t="shared" si="2"/>
        <v/>
      </c>
      <c r="O45" s="2" t="str">
        <f t="shared" si="3"/>
        <v/>
      </c>
    </row>
    <row r="46" spans="1:15" ht="15.75" customHeight="1">
      <c r="A46" s="2" t="s">
        <v>132</v>
      </c>
      <c r="B46" s="2" t="s">
        <v>13</v>
      </c>
      <c r="C46" s="2" t="s">
        <v>133</v>
      </c>
      <c r="D46" s="2" t="s">
        <v>19</v>
      </c>
      <c r="E46" s="3">
        <v>46051</v>
      </c>
      <c r="F46" s="3">
        <v>46051</v>
      </c>
      <c r="G46" s="3">
        <v>46055</v>
      </c>
      <c r="H46" s="2"/>
      <c r="I46" s="2" t="s">
        <v>54</v>
      </c>
      <c r="J46" s="2" t="s">
        <v>40</v>
      </c>
      <c r="K46" s="2">
        <v>2</v>
      </c>
      <c r="L46" s="2" t="b">
        <f t="shared" si="0"/>
        <v>0</v>
      </c>
      <c r="M46" s="2" t="b">
        <f t="shared" ca="1" si="1"/>
        <v>1</v>
      </c>
      <c r="N46" s="2" t="str">
        <f t="shared" si="2"/>
        <v/>
      </c>
      <c r="O46" s="2" t="str">
        <f t="shared" si="3"/>
        <v/>
      </c>
    </row>
    <row r="47" spans="1:15" ht="15.75" customHeight="1">
      <c r="A47" s="2" t="s">
        <v>134</v>
      </c>
      <c r="B47" s="2" t="s">
        <v>13</v>
      </c>
      <c r="C47" s="2" t="s">
        <v>135</v>
      </c>
      <c r="D47" s="2" t="s">
        <v>22</v>
      </c>
      <c r="E47" s="3">
        <v>46036</v>
      </c>
      <c r="F47" s="3">
        <v>46037</v>
      </c>
      <c r="G47" s="3">
        <v>46043</v>
      </c>
      <c r="H47" s="2"/>
      <c r="I47" s="2" t="s">
        <v>54</v>
      </c>
      <c r="J47" s="2" t="s">
        <v>49</v>
      </c>
      <c r="K47" s="2">
        <v>4</v>
      </c>
      <c r="L47" s="2" t="b">
        <f t="shared" si="0"/>
        <v>0</v>
      </c>
      <c r="M47" s="2" t="b">
        <f t="shared" ca="1" si="1"/>
        <v>1</v>
      </c>
      <c r="N47" s="2" t="str">
        <f t="shared" si="2"/>
        <v/>
      </c>
      <c r="O47" s="2" t="str">
        <f t="shared" si="3"/>
        <v/>
      </c>
    </row>
    <row r="48" spans="1:15" ht="15.75" customHeight="1">
      <c r="A48" s="2" t="s">
        <v>136</v>
      </c>
      <c r="B48" s="2" t="s">
        <v>6</v>
      </c>
      <c r="C48" s="2" t="s">
        <v>137</v>
      </c>
      <c r="D48" s="2" t="s">
        <v>22</v>
      </c>
      <c r="E48" s="3">
        <v>46044</v>
      </c>
      <c r="F48" s="3">
        <v>46046</v>
      </c>
      <c r="G48" s="3">
        <v>46056</v>
      </c>
      <c r="H48" s="2"/>
      <c r="I48" s="2" t="s">
        <v>63</v>
      </c>
      <c r="J48" s="2" t="s">
        <v>49</v>
      </c>
      <c r="K48" s="2">
        <v>6</v>
      </c>
      <c r="L48" s="2" t="b">
        <f t="shared" si="0"/>
        <v>0</v>
      </c>
      <c r="M48" s="2" t="b">
        <f t="shared" ca="1" si="1"/>
        <v>1</v>
      </c>
      <c r="N48" s="2" t="str">
        <f t="shared" si="2"/>
        <v/>
      </c>
      <c r="O48" s="2" t="str">
        <f t="shared" si="3"/>
        <v/>
      </c>
    </row>
    <row r="49" spans="1:15" ht="15.75" customHeight="1">
      <c r="A49" s="2" t="s">
        <v>138</v>
      </c>
      <c r="B49" s="2" t="s">
        <v>6</v>
      </c>
      <c r="C49" s="2" t="s">
        <v>139</v>
      </c>
      <c r="D49" s="2" t="s">
        <v>24</v>
      </c>
      <c r="E49" s="3">
        <v>46038</v>
      </c>
      <c r="F49" s="3">
        <v>46040</v>
      </c>
      <c r="G49" s="3">
        <v>46045</v>
      </c>
      <c r="H49" s="2"/>
      <c r="I49" s="2" t="s">
        <v>54</v>
      </c>
      <c r="J49" s="2" t="s">
        <v>40</v>
      </c>
      <c r="K49" s="2">
        <v>5</v>
      </c>
      <c r="L49" s="2" t="b">
        <f t="shared" si="0"/>
        <v>0</v>
      </c>
      <c r="M49" s="2" t="b">
        <f t="shared" ca="1" si="1"/>
        <v>1</v>
      </c>
      <c r="N49" s="2" t="str">
        <f t="shared" si="2"/>
        <v/>
      </c>
      <c r="O49" s="2" t="str">
        <f t="shared" si="3"/>
        <v/>
      </c>
    </row>
    <row r="50" spans="1:15" ht="15.75" customHeight="1">
      <c r="A50" s="2" t="s">
        <v>140</v>
      </c>
      <c r="B50" s="2" t="s">
        <v>13</v>
      </c>
      <c r="C50" s="2" t="s">
        <v>141</v>
      </c>
      <c r="D50" s="2" t="s">
        <v>22</v>
      </c>
      <c r="E50" s="3">
        <v>46050</v>
      </c>
      <c r="F50" s="3">
        <v>46053</v>
      </c>
      <c r="G50" s="3">
        <v>46061</v>
      </c>
      <c r="H50" s="3">
        <v>46054</v>
      </c>
      <c r="I50" s="2" t="s">
        <v>39</v>
      </c>
      <c r="J50" s="2" t="s">
        <v>49</v>
      </c>
      <c r="K50" s="2">
        <v>5</v>
      </c>
      <c r="L50" s="2" t="b">
        <f t="shared" si="0"/>
        <v>1</v>
      </c>
      <c r="M50" s="2" t="b">
        <f t="shared" ca="1" si="1"/>
        <v>0</v>
      </c>
      <c r="N50" s="2">
        <f t="shared" si="2"/>
        <v>1</v>
      </c>
      <c r="O50" s="2">
        <f t="shared" si="3"/>
        <v>4</v>
      </c>
    </row>
    <row r="51" spans="1:15" ht="15.75" customHeight="1">
      <c r="A51" s="2" t="s">
        <v>142</v>
      </c>
      <c r="B51" s="2" t="s">
        <v>13</v>
      </c>
      <c r="C51" s="2" t="s">
        <v>143</v>
      </c>
      <c r="D51" s="2" t="s">
        <v>19</v>
      </c>
      <c r="E51" s="3">
        <v>46029</v>
      </c>
      <c r="F51" s="3">
        <v>46032</v>
      </c>
      <c r="G51" s="3">
        <v>46037</v>
      </c>
      <c r="H51" s="2"/>
      <c r="I51" s="2" t="s">
        <v>54</v>
      </c>
      <c r="J51" s="2" t="s">
        <v>49</v>
      </c>
      <c r="K51" s="2">
        <v>3</v>
      </c>
      <c r="L51" s="2" t="b">
        <f t="shared" si="0"/>
        <v>0</v>
      </c>
      <c r="M51" s="2" t="b">
        <f t="shared" ca="1" si="1"/>
        <v>1</v>
      </c>
      <c r="N51" s="2" t="str">
        <f t="shared" si="2"/>
        <v/>
      </c>
      <c r="O51" s="2" t="str">
        <f t="shared" si="3"/>
        <v/>
      </c>
    </row>
    <row r="52" spans="1:15" ht="15.75" customHeight="1"/>
    <row r="53" spans="1:15" ht="15.75" customHeight="1"/>
    <row r="54" spans="1:15" ht="15.75" customHeight="1"/>
    <row r="55" spans="1:15" ht="15.75" customHeight="1"/>
    <row r="56" spans="1:15" ht="15.75" customHeight="1"/>
    <row r="57" spans="1:15" ht="15.75" customHeight="1"/>
    <row r="58" spans="1:15" ht="15.75" customHeight="1"/>
    <row r="59" spans="1:15" ht="15.75" customHeight="1"/>
    <row r="60" spans="1:15" ht="15.75" customHeight="1"/>
    <row r="61" spans="1:15" ht="15.75" customHeight="1"/>
    <row r="62" spans="1:15" ht="15.75" customHeight="1"/>
    <row r="63" spans="1:15" ht="15.75" customHeight="1"/>
    <row r="64" spans="1:1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/>
  </sheetViews>
  <sheetFormatPr defaultColWidth="14.44140625" defaultRowHeight="15" customHeight="1"/>
  <cols>
    <col min="1" max="1" width="12.109375" customWidth="1"/>
    <col min="2" max="11" width="8.6640625" customWidth="1"/>
  </cols>
  <sheetData>
    <row r="1" spans="1:4" ht="14.4">
      <c r="A1" s="1" t="s">
        <v>144</v>
      </c>
      <c r="B1" s="1" t="s">
        <v>25</v>
      </c>
      <c r="C1" s="1" t="s">
        <v>16</v>
      </c>
      <c r="D1" s="1" t="s">
        <v>145</v>
      </c>
    </row>
    <row r="2" spans="1:4" ht="14.4">
      <c r="A2" s="3">
        <v>46053</v>
      </c>
      <c r="B2" s="2" t="s">
        <v>94</v>
      </c>
      <c r="C2" s="2" t="s">
        <v>22</v>
      </c>
      <c r="D2" s="2">
        <v>7</v>
      </c>
    </row>
    <row r="3" spans="1:4" ht="14.4">
      <c r="A3" s="3">
        <v>46029</v>
      </c>
      <c r="B3" s="2" t="s">
        <v>134</v>
      </c>
      <c r="C3" s="2" t="s">
        <v>24</v>
      </c>
      <c r="D3" s="2">
        <v>8</v>
      </c>
    </row>
    <row r="4" spans="1:4" ht="14.4">
      <c r="A4" s="3">
        <v>46026</v>
      </c>
      <c r="B4" s="2" t="s">
        <v>140</v>
      </c>
      <c r="C4" s="2" t="s">
        <v>19</v>
      </c>
      <c r="D4" s="2">
        <v>1</v>
      </c>
    </row>
    <row r="5" spans="1:4" ht="14.4">
      <c r="A5" s="3">
        <v>46033</v>
      </c>
      <c r="B5" s="2" t="s">
        <v>41</v>
      </c>
      <c r="C5" s="2" t="s">
        <v>19</v>
      </c>
      <c r="D5" s="2">
        <v>4</v>
      </c>
    </row>
    <row r="6" spans="1:4" ht="14.4">
      <c r="A6" s="3">
        <v>46024</v>
      </c>
      <c r="B6" s="2" t="s">
        <v>74</v>
      </c>
      <c r="C6" s="2" t="s">
        <v>21</v>
      </c>
      <c r="D6" s="2">
        <v>6</v>
      </c>
    </row>
    <row r="7" spans="1:4" ht="14.4">
      <c r="A7" s="3">
        <v>46028</v>
      </c>
      <c r="B7" s="2" t="s">
        <v>114</v>
      </c>
      <c r="C7" s="2" t="s">
        <v>21</v>
      </c>
      <c r="D7" s="2">
        <v>8</v>
      </c>
    </row>
    <row r="8" spans="1:4" ht="14.4">
      <c r="A8" s="3">
        <v>46030</v>
      </c>
      <c r="B8" s="2" t="s">
        <v>64</v>
      </c>
      <c r="C8" s="2" t="s">
        <v>19</v>
      </c>
      <c r="D8" s="2">
        <v>3</v>
      </c>
    </row>
    <row r="9" spans="1:4" ht="14.4">
      <c r="A9" s="3">
        <v>46023</v>
      </c>
      <c r="B9" s="2" t="s">
        <v>120</v>
      </c>
      <c r="C9" s="2" t="s">
        <v>23</v>
      </c>
      <c r="D9" s="2">
        <v>8</v>
      </c>
    </row>
    <row r="10" spans="1:4" ht="14.4">
      <c r="A10" s="3">
        <v>46046</v>
      </c>
      <c r="B10" s="2" t="s">
        <v>116</v>
      </c>
      <c r="C10" s="2" t="s">
        <v>19</v>
      </c>
      <c r="D10" s="2">
        <v>7</v>
      </c>
    </row>
    <row r="11" spans="1:4" ht="14.4">
      <c r="A11" s="3">
        <v>46039</v>
      </c>
      <c r="B11" s="2" t="s">
        <v>138</v>
      </c>
      <c r="C11" s="2" t="s">
        <v>23</v>
      </c>
      <c r="D11" s="2">
        <v>6</v>
      </c>
    </row>
    <row r="12" spans="1:4" ht="14.4">
      <c r="A12" s="3">
        <v>46030</v>
      </c>
      <c r="B12" s="2" t="s">
        <v>140</v>
      </c>
      <c r="C12" s="2" t="s">
        <v>21</v>
      </c>
      <c r="D12" s="2">
        <v>2</v>
      </c>
    </row>
    <row r="13" spans="1:4" ht="14.4">
      <c r="A13" s="3">
        <v>46035</v>
      </c>
      <c r="B13" s="2" t="s">
        <v>80</v>
      </c>
      <c r="C13" s="2" t="s">
        <v>23</v>
      </c>
      <c r="D13" s="2">
        <v>1</v>
      </c>
    </row>
    <row r="14" spans="1:4" ht="14.4">
      <c r="A14" s="3">
        <v>46033</v>
      </c>
      <c r="B14" s="2" t="s">
        <v>70</v>
      </c>
      <c r="C14" s="2" t="s">
        <v>24</v>
      </c>
      <c r="D14" s="2">
        <v>5</v>
      </c>
    </row>
    <row r="15" spans="1:4" ht="14.4">
      <c r="A15" s="3">
        <v>46025</v>
      </c>
      <c r="B15" s="2" t="s">
        <v>104</v>
      </c>
      <c r="C15" s="2" t="s">
        <v>22</v>
      </c>
      <c r="D15" s="2">
        <v>8</v>
      </c>
    </row>
    <row r="16" spans="1:4" ht="14.4">
      <c r="A16" s="3">
        <v>46032</v>
      </c>
      <c r="B16" s="2" t="s">
        <v>108</v>
      </c>
      <c r="C16" s="2" t="s">
        <v>24</v>
      </c>
      <c r="D16" s="2">
        <v>3</v>
      </c>
    </row>
    <row r="17" spans="1:4" ht="14.4">
      <c r="A17" s="3">
        <v>46029</v>
      </c>
      <c r="B17" s="2" t="s">
        <v>100</v>
      </c>
      <c r="C17" s="2" t="s">
        <v>22</v>
      </c>
      <c r="D17" s="2">
        <v>6</v>
      </c>
    </row>
    <row r="18" spans="1:4" ht="14.4">
      <c r="A18" s="3">
        <v>46035</v>
      </c>
      <c r="B18" s="2" t="s">
        <v>118</v>
      </c>
      <c r="C18" s="2" t="s">
        <v>21</v>
      </c>
      <c r="D18" s="2">
        <v>7</v>
      </c>
    </row>
    <row r="19" spans="1:4" ht="14.4">
      <c r="A19" s="3">
        <v>46038</v>
      </c>
      <c r="B19" s="2" t="s">
        <v>114</v>
      </c>
      <c r="C19" s="2" t="s">
        <v>22</v>
      </c>
      <c r="D19" s="2">
        <v>4</v>
      </c>
    </row>
    <row r="20" spans="1:4" ht="14.4">
      <c r="A20" s="3">
        <v>46040</v>
      </c>
      <c r="B20" s="2" t="s">
        <v>120</v>
      </c>
      <c r="C20" s="2" t="s">
        <v>24</v>
      </c>
      <c r="D20" s="2">
        <v>8</v>
      </c>
    </row>
    <row r="21" spans="1:4" ht="15.75" customHeight="1">
      <c r="A21" s="3">
        <v>46030</v>
      </c>
      <c r="B21" s="2" t="s">
        <v>142</v>
      </c>
      <c r="C21" s="2" t="s">
        <v>24</v>
      </c>
      <c r="D21" s="2">
        <v>5</v>
      </c>
    </row>
    <row r="22" spans="1:4" ht="15.75" customHeight="1">
      <c r="A22" s="3">
        <v>46052</v>
      </c>
      <c r="B22" s="2" t="s">
        <v>116</v>
      </c>
      <c r="C22" s="2" t="s">
        <v>21</v>
      </c>
      <c r="D22" s="2">
        <v>3</v>
      </c>
    </row>
    <row r="23" spans="1:4" ht="15.75" customHeight="1">
      <c r="A23" s="3">
        <v>46044</v>
      </c>
      <c r="B23" s="2" t="s">
        <v>132</v>
      </c>
      <c r="C23" s="2" t="s">
        <v>19</v>
      </c>
      <c r="D23" s="2">
        <v>8</v>
      </c>
    </row>
    <row r="24" spans="1:4" ht="15.75" customHeight="1">
      <c r="A24" s="3">
        <v>46048</v>
      </c>
      <c r="B24" s="2" t="s">
        <v>116</v>
      </c>
      <c r="C24" s="2" t="s">
        <v>24</v>
      </c>
      <c r="D24" s="2">
        <v>7</v>
      </c>
    </row>
    <row r="25" spans="1:4" ht="15.75" customHeight="1">
      <c r="A25" s="3">
        <v>46045</v>
      </c>
      <c r="B25" s="2" t="s">
        <v>124</v>
      </c>
      <c r="C25" s="2" t="s">
        <v>24</v>
      </c>
      <c r="D25" s="2">
        <v>6</v>
      </c>
    </row>
    <row r="26" spans="1:4" ht="15.75" customHeight="1">
      <c r="A26" s="3">
        <v>46050</v>
      </c>
      <c r="B26" s="2" t="s">
        <v>110</v>
      </c>
      <c r="C26" s="2" t="s">
        <v>24</v>
      </c>
      <c r="D26" s="2">
        <v>6</v>
      </c>
    </row>
    <row r="27" spans="1:4" ht="15.75" customHeight="1">
      <c r="A27" s="3">
        <v>46049</v>
      </c>
      <c r="B27" s="2" t="s">
        <v>57</v>
      </c>
      <c r="C27" s="2" t="s">
        <v>21</v>
      </c>
      <c r="D27" s="2">
        <v>5</v>
      </c>
    </row>
    <row r="28" spans="1:4" ht="15.75" customHeight="1">
      <c r="A28" s="3">
        <v>46051</v>
      </c>
      <c r="B28" s="2" t="s">
        <v>72</v>
      </c>
      <c r="C28" s="2" t="s">
        <v>23</v>
      </c>
      <c r="D28" s="2">
        <v>2</v>
      </c>
    </row>
    <row r="29" spans="1:4" ht="15.75" customHeight="1">
      <c r="A29" s="3">
        <v>46042</v>
      </c>
      <c r="B29" s="2" t="s">
        <v>47</v>
      </c>
      <c r="C29" s="2" t="s">
        <v>19</v>
      </c>
      <c r="D29" s="2">
        <v>8</v>
      </c>
    </row>
    <row r="30" spans="1:4" ht="15.75" customHeight="1">
      <c r="A30" s="3">
        <v>46029</v>
      </c>
      <c r="B30" s="2" t="s">
        <v>55</v>
      </c>
      <c r="C30" s="2" t="s">
        <v>19</v>
      </c>
      <c r="D30" s="2">
        <v>5</v>
      </c>
    </row>
    <row r="31" spans="1:4" ht="15.75" customHeight="1">
      <c r="A31" s="3">
        <v>46038</v>
      </c>
      <c r="B31" s="2" t="s">
        <v>84</v>
      </c>
      <c r="C31" s="2" t="s">
        <v>22</v>
      </c>
      <c r="D31" s="2">
        <v>2</v>
      </c>
    </row>
    <row r="32" spans="1:4" ht="15.75" customHeight="1">
      <c r="A32" s="3">
        <v>46051</v>
      </c>
      <c r="B32" s="2" t="s">
        <v>122</v>
      </c>
      <c r="C32" s="2" t="s">
        <v>21</v>
      </c>
      <c r="D32" s="2">
        <v>8</v>
      </c>
    </row>
    <row r="33" spans="1:4" ht="15.75" customHeight="1">
      <c r="A33" s="3">
        <v>46042</v>
      </c>
      <c r="B33" s="2" t="s">
        <v>78</v>
      </c>
      <c r="C33" s="2" t="s">
        <v>19</v>
      </c>
      <c r="D33" s="2">
        <v>5</v>
      </c>
    </row>
    <row r="34" spans="1:4" ht="15.75" customHeight="1">
      <c r="A34" s="3">
        <v>46029</v>
      </c>
      <c r="B34" s="2" t="s">
        <v>74</v>
      </c>
      <c r="C34" s="2" t="s">
        <v>23</v>
      </c>
      <c r="D34" s="2">
        <v>1</v>
      </c>
    </row>
    <row r="35" spans="1:4" ht="15.75" customHeight="1">
      <c r="A35" s="3">
        <v>46029</v>
      </c>
      <c r="B35" s="2" t="s">
        <v>136</v>
      </c>
      <c r="C35" s="2" t="s">
        <v>21</v>
      </c>
      <c r="D35" s="2">
        <v>2</v>
      </c>
    </row>
    <row r="36" spans="1:4" ht="15.75" customHeight="1">
      <c r="A36" s="3">
        <v>46043</v>
      </c>
      <c r="B36" s="2" t="s">
        <v>114</v>
      </c>
      <c r="C36" s="2" t="s">
        <v>21</v>
      </c>
      <c r="D36" s="2">
        <v>8</v>
      </c>
    </row>
    <row r="37" spans="1:4" ht="15.75" customHeight="1">
      <c r="A37" s="3">
        <v>46025</v>
      </c>
      <c r="B37" s="2" t="s">
        <v>50</v>
      </c>
      <c r="C37" s="2" t="s">
        <v>24</v>
      </c>
      <c r="D37" s="2">
        <v>5</v>
      </c>
    </row>
    <row r="38" spans="1:4" ht="15.75" customHeight="1">
      <c r="A38" s="3">
        <v>46031</v>
      </c>
      <c r="B38" s="2" t="s">
        <v>57</v>
      </c>
      <c r="C38" s="2" t="s">
        <v>19</v>
      </c>
      <c r="D38" s="2">
        <v>1</v>
      </c>
    </row>
    <row r="39" spans="1:4" ht="15.75" customHeight="1">
      <c r="A39" s="3">
        <v>46050</v>
      </c>
      <c r="B39" s="2" t="s">
        <v>112</v>
      </c>
      <c r="C39" s="2" t="s">
        <v>24</v>
      </c>
      <c r="D39" s="2">
        <v>5</v>
      </c>
    </row>
    <row r="40" spans="1:4" ht="15.75" customHeight="1">
      <c r="A40" s="3">
        <v>46023</v>
      </c>
      <c r="B40" s="2" t="s">
        <v>94</v>
      </c>
      <c r="C40" s="2" t="s">
        <v>22</v>
      </c>
      <c r="D40" s="2">
        <v>1</v>
      </c>
    </row>
    <row r="41" spans="1:4" ht="15.75" customHeight="1">
      <c r="A41" s="3">
        <v>46036</v>
      </c>
      <c r="B41" s="2" t="s">
        <v>82</v>
      </c>
      <c r="C41" s="2" t="s">
        <v>21</v>
      </c>
      <c r="D41" s="2">
        <v>5</v>
      </c>
    </row>
    <row r="42" spans="1:4" ht="15.75" customHeight="1">
      <c r="A42" s="3">
        <v>46035</v>
      </c>
      <c r="B42" s="2" t="s">
        <v>102</v>
      </c>
      <c r="C42" s="2" t="s">
        <v>19</v>
      </c>
      <c r="D42" s="2">
        <v>4</v>
      </c>
    </row>
    <row r="43" spans="1:4" ht="15.75" customHeight="1">
      <c r="A43" s="3">
        <v>46030</v>
      </c>
      <c r="B43" s="2" t="s">
        <v>134</v>
      </c>
      <c r="C43" s="2" t="s">
        <v>21</v>
      </c>
      <c r="D43" s="2">
        <v>6</v>
      </c>
    </row>
    <row r="44" spans="1:4" ht="15.75" customHeight="1">
      <c r="A44" s="3">
        <v>46027</v>
      </c>
      <c r="B44" s="2" t="s">
        <v>130</v>
      </c>
      <c r="C44" s="2" t="s">
        <v>23</v>
      </c>
      <c r="D44" s="2">
        <v>3</v>
      </c>
    </row>
    <row r="45" spans="1:4" ht="15.75" customHeight="1">
      <c r="A45" s="3">
        <v>46047</v>
      </c>
      <c r="B45" s="2" t="s">
        <v>126</v>
      </c>
      <c r="C45" s="2" t="s">
        <v>21</v>
      </c>
      <c r="D45" s="2">
        <v>3</v>
      </c>
    </row>
    <row r="46" spans="1:4" ht="15.75" customHeight="1">
      <c r="A46" s="3">
        <v>46024</v>
      </c>
      <c r="B46" s="2" t="s">
        <v>118</v>
      </c>
      <c r="C46" s="2" t="s">
        <v>22</v>
      </c>
      <c r="D46" s="2">
        <v>4</v>
      </c>
    </row>
    <row r="47" spans="1:4" ht="15.75" customHeight="1">
      <c r="A47" s="3">
        <v>46030</v>
      </c>
      <c r="B47" s="2" t="s">
        <v>134</v>
      </c>
      <c r="C47" s="2" t="s">
        <v>24</v>
      </c>
      <c r="D47" s="2">
        <v>3</v>
      </c>
    </row>
    <row r="48" spans="1:4" ht="15.75" customHeight="1">
      <c r="A48" s="3">
        <v>46038</v>
      </c>
      <c r="B48" s="2" t="s">
        <v>50</v>
      </c>
      <c r="C48" s="2" t="s">
        <v>24</v>
      </c>
      <c r="D48" s="2">
        <v>7</v>
      </c>
    </row>
    <row r="49" spans="1:4" ht="15.75" customHeight="1">
      <c r="A49" s="3">
        <v>46034</v>
      </c>
      <c r="B49" s="2" t="s">
        <v>118</v>
      </c>
      <c r="C49" s="2" t="s">
        <v>24</v>
      </c>
      <c r="D49" s="2">
        <v>4</v>
      </c>
    </row>
    <row r="50" spans="1:4" ht="15.75" customHeight="1">
      <c r="A50" s="3">
        <v>46044</v>
      </c>
      <c r="B50" s="2" t="s">
        <v>128</v>
      </c>
      <c r="C50" s="2" t="s">
        <v>24</v>
      </c>
      <c r="D50" s="2">
        <v>7</v>
      </c>
    </row>
    <row r="51" spans="1:4" ht="15.75" customHeight="1">
      <c r="A51" s="3">
        <v>46027</v>
      </c>
      <c r="B51" s="2" t="s">
        <v>80</v>
      </c>
      <c r="C51" s="2" t="s">
        <v>22</v>
      </c>
      <c r="D51" s="2">
        <v>7</v>
      </c>
    </row>
    <row r="52" spans="1:4" ht="15.75" customHeight="1">
      <c r="A52" s="3">
        <v>46042</v>
      </c>
      <c r="B52" s="2" t="s">
        <v>134</v>
      </c>
      <c r="C52" s="2" t="s">
        <v>24</v>
      </c>
      <c r="D52" s="2">
        <v>2</v>
      </c>
    </row>
    <row r="53" spans="1:4" ht="15.75" customHeight="1">
      <c r="A53" s="3">
        <v>46049</v>
      </c>
      <c r="B53" s="2" t="s">
        <v>130</v>
      </c>
      <c r="C53" s="2" t="s">
        <v>21</v>
      </c>
      <c r="D53" s="2">
        <v>1</v>
      </c>
    </row>
    <row r="54" spans="1:4" ht="15.75" customHeight="1">
      <c r="A54" s="3">
        <v>46045</v>
      </c>
      <c r="B54" s="2" t="s">
        <v>132</v>
      </c>
      <c r="C54" s="2" t="s">
        <v>24</v>
      </c>
      <c r="D54" s="2">
        <v>3</v>
      </c>
    </row>
    <row r="55" spans="1:4" ht="15.75" customHeight="1">
      <c r="A55" s="3">
        <v>46029</v>
      </c>
      <c r="B55" s="2" t="s">
        <v>84</v>
      </c>
      <c r="C55" s="2" t="s">
        <v>21</v>
      </c>
      <c r="D55" s="2">
        <v>6</v>
      </c>
    </row>
    <row r="56" spans="1:4" ht="15.75" customHeight="1">
      <c r="A56" s="3">
        <v>46053</v>
      </c>
      <c r="B56" s="2" t="s">
        <v>110</v>
      </c>
      <c r="C56" s="2" t="s">
        <v>21</v>
      </c>
      <c r="D56" s="2">
        <v>1</v>
      </c>
    </row>
    <row r="57" spans="1:4" ht="15.75" customHeight="1">
      <c r="A57" s="3">
        <v>46037</v>
      </c>
      <c r="B57" s="2" t="s">
        <v>98</v>
      </c>
      <c r="C57" s="2" t="s">
        <v>22</v>
      </c>
      <c r="D57" s="2">
        <v>6</v>
      </c>
    </row>
    <row r="58" spans="1:4" ht="15.75" customHeight="1">
      <c r="A58" s="3">
        <v>46042</v>
      </c>
      <c r="B58" s="2" t="s">
        <v>82</v>
      </c>
      <c r="C58" s="2" t="s">
        <v>24</v>
      </c>
      <c r="D58" s="2">
        <v>7</v>
      </c>
    </row>
    <row r="59" spans="1:4" ht="15.75" customHeight="1">
      <c r="A59" s="3">
        <v>46047</v>
      </c>
      <c r="B59" s="2" t="s">
        <v>106</v>
      </c>
      <c r="C59" s="2" t="s">
        <v>22</v>
      </c>
      <c r="D59" s="2">
        <v>6</v>
      </c>
    </row>
    <row r="60" spans="1:4" ht="15.75" customHeight="1">
      <c r="A60" s="3">
        <v>46048</v>
      </c>
      <c r="B60" s="2" t="s">
        <v>96</v>
      </c>
      <c r="C60" s="2" t="s">
        <v>21</v>
      </c>
      <c r="D60" s="2">
        <v>8</v>
      </c>
    </row>
    <row r="61" spans="1:4" ht="15.75" customHeight="1">
      <c r="A61" s="3">
        <v>46039</v>
      </c>
      <c r="B61" s="2" t="s">
        <v>72</v>
      </c>
      <c r="C61" s="2" t="s">
        <v>19</v>
      </c>
      <c r="D61" s="2">
        <v>4</v>
      </c>
    </row>
    <row r="62" spans="1:4" ht="15.75" customHeight="1">
      <c r="A62" s="3">
        <v>46032</v>
      </c>
      <c r="B62" s="2" t="s">
        <v>78</v>
      </c>
      <c r="C62" s="2" t="s">
        <v>19</v>
      </c>
      <c r="D62" s="2">
        <v>7</v>
      </c>
    </row>
    <row r="63" spans="1:4" ht="15.75" customHeight="1">
      <c r="A63" s="3">
        <v>46026</v>
      </c>
      <c r="B63" s="2" t="s">
        <v>140</v>
      </c>
      <c r="C63" s="2" t="s">
        <v>21</v>
      </c>
      <c r="D63" s="2">
        <v>2</v>
      </c>
    </row>
    <row r="64" spans="1:4" ht="15.75" customHeight="1">
      <c r="A64" s="3">
        <v>46027</v>
      </c>
      <c r="B64" s="2" t="s">
        <v>55</v>
      </c>
      <c r="C64" s="2" t="s">
        <v>21</v>
      </c>
      <c r="D64" s="2">
        <v>7</v>
      </c>
    </row>
    <row r="65" spans="1:4" ht="15.75" customHeight="1">
      <c r="A65" s="3">
        <v>46044</v>
      </c>
      <c r="B65" s="2" t="s">
        <v>114</v>
      </c>
      <c r="C65" s="2" t="s">
        <v>21</v>
      </c>
      <c r="D65" s="2">
        <v>6</v>
      </c>
    </row>
    <row r="66" spans="1:4" ht="15.75" customHeight="1">
      <c r="A66" s="3">
        <v>46032</v>
      </c>
      <c r="B66" s="2" t="s">
        <v>124</v>
      </c>
      <c r="C66" s="2" t="s">
        <v>21</v>
      </c>
      <c r="D66" s="2">
        <v>5</v>
      </c>
    </row>
    <row r="67" spans="1:4" ht="15.75" customHeight="1">
      <c r="A67" s="3">
        <v>46039</v>
      </c>
      <c r="B67" s="2" t="s">
        <v>114</v>
      </c>
      <c r="C67" s="2" t="s">
        <v>23</v>
      </c>
      <c r="D67" s="2">
        <v>6</v>
      </c>
    </row>
    <row r="68" spans="1:4" ht="15.75" customHeight="1">
      <c r="A68" s="3">
        <v>46027</v>
      </c>
      <c r="B68" s="2" t="s">
        <v>100</v>
      </c>
      <c r="C68" s="2" t="s">
        <v>21</v>
      </c>
      <c r="D68" s="2">
        <v>1</v>
      </c>
    </row>
    <row r="69" spans="1:4" ht="15.75" customHeight="1">
      <c r="A69" s="3">
        <v>46038</v>
      </c>
      <c r="B69" s="2" t="s">
        <v>76</v>
      </c>
      <c r="C69" s="2" t="s">
        <v>23</v>
      </c>
      <c r="D69" s="2">
        <v>6</v>
      </c>
    </row>
    <row r="70" spans="1:4" ht="15.75" customHeight="1">
      <c r="A70" s="3">
        <v>46053</v>
      </c>
      <c r="B70" s="2" t="s">
        <v>74</v>
      </c>
      <c r="C70" s="2" t="s">
        <v>19</v>
      </c>
      <c r="D70" s="2">
        <v>6</v>
      </c>
    </row>
    <row r="71" spans="1:4" ht="15.75" customHeight="1">
      <c r="A71" s="3">
        <v>46050</v>
      </c>
      <c r="B71" s="2" t="s">
        <v>108</v>
      </c>
      <c r="C71" s="2" t="s">
        <v>24</v>
      </c>
      <c r="D71" s="2">
        <v>7</v>
      </c>
    </row>
    <row r="72" spans="1:4" ht="15.75" customHeight="1">
      <c r="A72" s="3">
        <v>46045</v>
      </c>
      <c r="B72" s="2" t="s">
        <v>102</v>
      </c>
      <c r="C72" s="2" t="s">
        <v>19</v>
      </c>
      <c r="D72" s="2">
        <v>5</v>
      </c>
    </row>
    <row r="73" spans="1:4" ht="15.75" customHeight="1">
      <c r="A73" s="3">
        <v>46052</v>
      </c>
      <c r="B73" s="2" t="s">
        <v>142</v>
      </c>
      <c r="C73" s="2" t="s">
        <v>24</v>
      </c>
      <c r="D73" s="2">
        <v>6</v>
      </c>
    </row>
    <row r="74" spans="1:4" ht="15.75" customHeight="1">
      <c r="A74" s="3">
        <v>46037</v>
      </c>
      <c r="B74" s="2" t="s">
        <v>96</v>
      </c>
      <c r="C74" s="2" t="s">
        <v>24</v>
      </c>
      <c r="D74" s="2">
        <v>7</v>
      </c>
    </row>
    <row r="75" spans="1:4" ht="15.75" customHeight="1">
      <c r="A75" s="3">
        <v>46037</v>
      </c>
      <c r="B75" s="2" t="s">
        <v>130</v>
      </c>
      <c r="C75" s="2" t="s">
        <v>19</v>
      </c>
      <c r="D75" s="2">
        <v>7</v>
      </c>
    </row>
    <row r="76" spans="1:4" ht="15.75" customHeight="1">
      <c r="A76" s="3">
        <v>46026</v>
      </c>
      <c r="B76" s="2" t="s">
        <v>102</v>
      </c>
      <c r="C76" s="2" t="s">
        <v>22</v>
      </c>
      <c r="D76" s="2">
        <v>2</v>
      </c>
    </row>
    <row r="77" spans="1:4" ht="15.75" customHeight="1">
      <c r="A77" s="3">
        <v>46028</v>
      </c>
      <c r="B77" s="2" t="s">
        <v>61</v>
      </c>
      <c r="C77" s="2" t="s">
        <v>21</v>
      </c>
      <c r="D77" s="2">
        <v>1</v>
      </c>
    </row>
    <row r="78" spans="1:4" ht="15.75" customHeight="1">
      <c r="A78" s="3">
        <v>46048</v>
      </c>
      <c r="B78" s="2" t="s">
        <v>130</v>
      </c>
      <c r="C78" s="2" t="s">
        <v>22</v>
      </c>
      <c r="D78" s="2">
        <v>6</v>
      </c>
    </row>
    <row r="79" spans="1:4" ht="15.75" customHeight="1">
      <c r="A79" s="3">
        <v>46051</v>
      </c>
      <c r="B79" s="2" t="s">
        <v>78</v>
      </c>
      <c r="C79" s="2" t="s">
        <v>19</v>
      </c>
      <c r="D79" s="2">
        <v>4</v>
      </c>
    </row>
    <row r="80" spans="1:4" ht="15.75" customHeight="1">
      <c r="A80" s="3">
        <v>46042</v>
      </c>
      <c r="B80" s="2" t="s">
        <v>88</v>
      </c>
      <c r="C80" s="2" t="s">
        <v>21</v>
      </c>
      <c r="D80" s="2">
        <v>6</v>
      </c>
    </row>
    <row r="81" spans="1:4" ht="15.75" customHeight="1">
      <c r="A81" s="3">
        <v>46042</v>
      </c>
      <c r="B81" s="2" t="s">
        <v>86</v>
      </c>
      <c r="C81" s="2" t="s">
        <v>24</v>
      </c>
      <c r="D81" s="2">
        <v>6</v>
      </c>
    </row>
    <row r="82" spans="1:4" ht="15.75" customHeight="1">
      <c r="A82" s="3">
        <v>46033</v>
      </c>
      <c r="B82" s="2" t="s">
        <v>136</v>
      </c>
      <c r="C82" s="2" t="s">
        <v>24</v>
      </c>
      <c r="D82" s="2">
        <v>3</v>
      </c>
    </row>
    <row r="83" spans="1:4" ht="15.75" customHeight="1">
      <c r="A83" s="3">
        <v>46052</v>
      </c>
      <c r="B83" s="2" t="s">
        <v>55</v>
      </c>
      <c r="C83" s="2" t="s">
        <v>24</v>
      </c>
      <c r="D83" s="2">
        <v>1</v>
      </c>
    </row>
    <row r="84" spans="1:4" ht="15.75" customHeight="1">
      <c r="A84" s="3">
        <v>46038</v>
      </c>
      <c r="B84" s="2" t="s">
        <v>64</v>
      </c>
      <c r="C84" s="2" t="s">
        <v>23</v>
      </c>
      <c r="D84" s="2">
        <v>4</v>
      </c>
    </row>
    <row r="85" spans="1:4" ht="15.75" customHeight="1">
      <c r="A85" s="3">
        <v>46045</v>
      </c>
      <c r="B85" s="2" t="s">
        <v>124</v>
      </c>
      <c r="C85" s="2" t="s">
        <v>24</v>
      </c>
      <c r="D85" s="2">
        <v>2</v>
      </c>
    </row>
    <row r="86" spans="1:4" ht="15.75" customHeight="1">
      <c r="A86" s="3">
        <v>46046</v>
      </c>
      <c r="B86" s="2" t="s">
        <v>114</v>
      </c>
      <c r="C86" s="2" t="s">
        <v>24</v>
      </c>
      <c r="D86" s="2">
        <v>5</v>
      </c>
    </row>
    <row r="87" spans="1:4" ht="15.75" customHeight="1">
      <c r="A87" s="3">
        <v>46048</v>
      </c>
      <c r="B87" s="2" t="s">
        <v>120</v>
      </c>
      <c r="C87" s="2" t="s">
        <v>19</v>
      </c>
      <c r="D87" s="2">
        <v>5</v>
      </c>
    </row>
    <row r="88" spans="1:4" ht="15.75" customHeight="1">
      <c r="A88" s="3">
        <v>46052</v>
      </c>
      <c r="B88" s="2" t="s">
        <v>138</v>
      </c>
      <c r="C88" s="2" t="s">
        <v>19</v>
      </c>
      <c r="D88" s="2">
        <v>7</v>
      </c>
    </row>
    <row r="89" spans="1:4" ht="15.75" customHeight="1">
      <c r="A89" s="3">
        <v>46037</v>
      </c>
      <c r="B89" s="2" t="s">
        <v>106</v>
      </c>
      <c r="C89" s="2" t="s">
        <v>22</v>
      </c>
      <c r="D89" s="2">
        <v>5</v>
      </c>
    </row>
    <row r="90" spans="1:4" ht="15.75" customHeight="1">
      <c r="A90" s="3">
        <v>46040</v>
      </c>
      <c r="B90" s="2" t="s">
        <v>112</v>
      </c>
      <c r="C90" s="2" t="s">
        <v>21</v>
      </c>
      <c r="D90" s="2">
        <v>6</v>
      </c>
    </row>
    <row r="91" spans="1:4" ht="15.75" customHeight="1">
      <c r="A91" s="3">
        <v>46029</v>
      </c>
      <c r="B91" s="2" t="s">
        <v>96</v>
      </c>
      <c r="C91" s="2" t="s">
        <v>19</v>
      </c>
      <c r="D91" s="2">
        <v>6</v>
      </c>
    </row>
    <row r="92" spans="1:4" ht="15.75" customHeight="1">
      <c r="A92" s="3">
        <v>46025</v>
      </c>
      <c r="B92" s="2" t="s">
        <v>64</v>
      </c>
      <c r="C92" s="2" t="s">
        <v>19</v>
      </c>
      <c r="D92" s="2">
        <v>3</v>
      </c>
    </row>
    <row r="93" spans="1:4" ht="15.75" customHeight="1">
      <c r="A93" s="3">
        <v>46038</v>
      </c>
      <c r="B93" s="2" t="s">
        <v>45</v>
      </c>
      <c r="C93" s="2" t="s">
        <v>19</v>
      </c>
      <c r="D93" s="2">
        <v>6</v>
      </c>
    </row>
    <row r="94" spans="1:4" ht="15.75" customHeight="1">
      <c r="A94" s="3">
        <v>46052</v>
      </c>
      <c r="B94" s="2" t="s">
        <v>50</v>
      </c>
      <c r="C94" s="2" t="s">
        <v>19</v>
      </c>
      <c r="D94" s="2">
        <v>2</v>
      </c>
    </row>
    <row r="95" spans="1:4" ht="15.75" customHeight="1">
      <c r="A95" s="3">
        <v>46045</v>
      </c>
      <c r="B95" s="2" t="s">
        <v>66</v>
      </c>
      <c r="C95" s="2" t="s">
        <v>21</v>
      </c>
      <c r="D95" s="2">
        <v>3</v>
      </c>
    </row>
    <row r="96" spans="1:4" ht="15.75" customHeight="1">
      <c r="A96" s="3">
        <v>46023</v>
      </c>
      <c r="B96" s="2" t="s">
        <v>37</v>
      </c>
      <c r="C96" s="2" t="s">
        <v>19</v>
      </c>
      <c r="D96" s="2">
        <v>3</v>
      </c>
    </row>
    <row r="97" spans="1:4" ht="15.75" customHeight="1">
      <c r="A97" s="3">
        <v>46040</v>
      </c>
      <c r="B97" s="2" t="s">
        <v>72</v>
      </c>
      <c r="C97" s="2" t="s">
        <v>21</v>
      </c>
      <c r="D97" s="2">
        <v>5</v>
      </c>
    </row>
    <row r="98" spans="1:4" ht="15.75" customHeight="1">
      <c r="A98" s="3">
        <v>46046</v>
      </c>
      <c r="B98" s="2" t="s">
        <v>114</v>
      </c>
      <c r="C98" s="2" t="s">
        <v>21</v>
      </c>
      <c r="D98" s="2">
        <v>6</v>
      </c>
    </row>
    <row r="99" spans="1:4" ht="15.75" customHeight="1">
      <c r="A99" s="3">
        <v>46052</v>
      </c>
      <c r="B99" s="2" t="s">
        <v>124</v>
      </c>
      <c r="C99" s="2" t="s">
        <v>23</v>
      </c>
      <c r="D99" s="2">
        <v>7</v>
      </c>
    </row>
    <row r="100" spans="1:4" ht="15.75" customHeight="1">
      <c r="A100" s="3">
        <v>46033</v>
      </c>
      <c r="B100" s="2" t="s">
        <v>106</v>
      </c>
      <c r="C100" s="2" t="s">
        <v>19</v>
      </c>
      <c r="D100" s="2">
        <v>4</v>
      </c>
    </row>
    <row r="101" spans="1:4" ht="15.75" customHeight="1">
      <c r="A101" s="3">
        <v>46033</v>
      </c>
      <c r="B101" s="2" t="s">
        <v>124</v>
      </c>
      <c r="C101" s="2" t="s">
        <v>22</v>
      </c>
      <c r="D101" s="2">
        <v>8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"/>
  <sheetViews>
    <sheetView tabSelected="1" workbookViewId="0"/>
  </sheetViews>
  <sheetFormatPr defaultColWidth="14.44140625" defaultRowHeight="15" customHeight="1"/>
  <cols>
    <col min="1" max="1" width="13.44140625" customWidth="1"/>
    <col min="2" max="11" width="8.6640625" customWidth="1"/>
  </cols>
  <sheetData>
    <row r="1" spans="1:2" ht="14.4">
      <c r="A1" t="s">
        <v>146</v>
      </c>
      <c r="B1" t="s">
        <v>147</v>
      </c>
    </row>
    <row r="2" spans="1:2" ht="14.4">
      <c r="A2" t="s">
        <v>148</v>
      </c>
      <c r="B2">
        <f>COUNTA(tblTasks!$A$2:$A$51)</f>
        <v>50</v>
      </c>
    </row>
    <row r="3" spans="1:2" ht="14.4">
      <c r="A3" t="s">
        <v>149</v>
      </c>
      <c r="B3">
        <f>COUNTIF(tblTasks!$I$2:$I$51,"Done")</f>
        <v>15</v>
      </c>
    </row>
    <row r="4" spans="1:2" ht="14.4">
      <c r="A4" t="s">
        <v>150</v>
      </c>
      <c r="B4">
        <f>COUNTIF(tblTasks!$I$2:$I$51,"In Progress")</f>
        <v>10</v>
      </c>
    </row>
    <row r="5" spans="1:2" ht="14.4">
      <c r="A5" t="s">
        <v>151</v>
      </c>
      <c r="B5">
        <f ca="1">COUNTIF(tblTasks!$M$2:$M$51,TRUE)</f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tblProjects</vt:lpstr>
      <vt:lpstr>tblTeam</vt:lpstr>
      <vt:lpstr>tblTasks</vt:lpstr>
      <vt:lpstr>tblTime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PONNAM</cp:lastModifiedBy>
  <dcterms:created xsi:type="dcterms:W3CDTF">2026-04-14T15:23:10Z</dcterms:created>
  <dcterms:modified xsi:type="dcterms:W3CDTF">2026-04-14T17:03:21Z</dcterms:modified>
</cp:coreProperties>
</file>